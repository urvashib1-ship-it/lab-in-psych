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rvashibhansali/Documents/AU [Psych] (1-4 years) /3rd Year/Semester 5 Monsoon 25-26/PSY310/Lab Reports/WordPriming Experiment/Participants Analysis/"/>
    </mc:Choice>
  </mc:AlternateContent>
  <xr:revisionPtr revIDLastSave="0" documentId="13_ncr:1_{9ADF21CB-FC2E-6040-8094-673D6B427CF9}" xr6:coauthVersionLast="47" xr6:coauthVersionMax="47" xr10:uidLastSave="{00000000-0000-0000-0000-000000000000}"/>
  <bookViews>
    <workbookView xWindow="680" yWindow="680" windowWidth="28040" windowHeight="17240" xr2:uid="{00000000-000D-0000-FFFF-FFFF00000000}"/>
  </bookViews>
  <sheets>
    <sheet name="V_1_Word Priming Task_2025-10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5" i="1" l="1"/>
  <c r="I47" i="1"/>
  <c r="I46" i="1"/>
</calcChain>
</file>

<file path=xl/sharedStrings.xml><?xml version="1.0" encoding="utf-8"?>
<sst xmlns="http://schemas.openxmlformats.org/spreadsheetml/2006/main" count="702" uniqueCount="156">
  <si>
    <t>study_word</t>
  </si>
  <si>
    <t>thisN</t>
  </si>
  <si>
    <t>thisTrialN</t>
  </si>
  <si>
    <t>thisRepN</t>
  </si>
  <si>
    <t>slider.response</t>
  </si>
  <si>
    <t>slider.rt</t>
  </si>
  <si>
    <t>test_word</t>
  </si>
  <si>
    <t>Reference</t>
  </si>
  <si>
    <t>old_new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</si>
  <si>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</si>
  <si>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</si>
  <si>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</si>
  <si>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</si>
  <si>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</si>
  <si>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</si>
  <si>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</si>
  <si>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</si>
  <si>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</si>
  <si>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</si>
  <si>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</si>
  <si>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</si>
  <si>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</si>
  <si>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</si>
  <si>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</si>
  <si>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</si>
  <si>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</si>
  <si>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</si>
  <si>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</si>
  <si>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</si>
  <si>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</si>
  <si>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trial.stopped</t>
  </si>
  <si>
    <t>trials.slider.response</t>
  </si>
  <si>
    <t>trials.slider.rt</t>
  </si>
  <si>
    <t>test_routine.started</t>
  </si>
  <si>
    <t>textText.started</t>
  </si>
  <si>
    <t>textbox.started</t>
  </si>
  <si>
    <t>text_3.started</t>
  </si>
  <si>
    <t>mouse.started</t>
  </si>
  <si>
    <t>test_routine.stopped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</si>
  <si>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</si>
  <si>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</si>
  <si>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</si>
  <si>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</si>
  <si>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</si>
  <si>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</si>
  <si>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</si>
  <si>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</si>
  <si>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textText.stopped</t>
  </si>
  <si>
    <t>textbox.stopped</t>
  </si>
  <si>
    <t>text_3.stopped</t>
  </si>
  <si>
    <t>mouse.stopped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</si>
  <si>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</si>
  <si>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</si>
  <si>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</si>
  <si>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</si>
  <si>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</si>
  <si>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</si>
  <si>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</si>
  <si>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</si>
  <si>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mouse</t>
  </si>
  <si>
    <t>V_1</t>
  </si>
  <si>
    <t>2025-10-14_19h03.10.328</t>
  </si>
  <si>
    <t>Word Priming Task</t>
  </si>
  <si>
    <t>2025.2.0</t>
  </si>
  <si>
    <t>2025-10-14 19h03.10.448107 +0530</t>
  </si>
  <si>
    <t>Keys</t>
  </si>
  <si>
    <t>T-shirt</t>
  </si>
  <si>
    <t>marble</t>
  </si>
  <si>
    <t>Chart</t>
  </si>
  <si>
    <t>tiger</t>
  </si>
  <si>
    <t>Pastry</t>
  </si>
  <si>
    <t>Police</t>
  </si>
  <si>
    <t>camera</t>
  </si>
  <si>
    <t>Poster</t>
  </si>
  <si>
    <t>cushion</t>
  </si>
  <si>
    <t>vase</t>
  </si>
  <si>
    <t>Laptop</t>
  </si>
  <si>
    <t>board</t>
  </si>
  <si>
    <t>book</t>
  </si>
  <si>
    <t>Cruise</t>
  </si>
  <si>
    <t>piano</t>
  </si>
  <si>
    <t>Case</t>
  </si>
  <si>
    <t>p_li_e</t>
  </si>
  <si>
    <t>police</t>
  </si>
  <si>
    <t xml:space="preserve">old </t>
  </si>
  <si>
    <t>p</t>
  </si>
  <si>
    <t>[]</t>
  </si>
  <si>
    <t>p_nc_l</t>
  </si>
  <si>
    <t>pencil</t>
  </si>
  <si>
    <t>new</t>
  </si>
  <si>
    <t>_a_bl_</t>
  </si>
  <si>
    <t>old</t>
  </si>
  <si>
    <t>p-ncl</t>
  </si>
  <si>
    <t>_o_s_</t>
  </si>
  <si>
    <t>_o_</t>
  </si>
  <si>
    <t>_a_e</t>
  </si>
  <si>
    <t>_a_</t>
  </si>
  <si>
    <t>P_st_y</t>
  </si>
  <si>
    <t>pastry</t>
  </si>
  <si>
    <t>o_a_n_e</t>
  </si>
  <si>
    <t>orange</t>
  </si>
  <si>
    <t>t_hi_t</t>
  </si>
  <si>
    <t>tshirt</t>
  </si>
  <si>
    <t>l_pt_p</t>
  </si>
  <si>
    <t>laptop</t>
  </si>
  <si>
    <t>L_pt</t>
  </si>
  <si>
    <t>c_sh_o_n</t>
  </si>
  <si>
    <t>ta_l_</t>
  </si>
  <si>
    <t>table</t>
  </si>
  <si>
    <t>p_st_r</t>
  </si>
  <si>
    <t>poster</t>
  </si>
  <si>
    <t xml:space="preserve">pastry </t>
  </si>
  <si>
    <t>[np.float64(-0.50390625)]</t>
  </si>
  <si>
    <t>[np.float64(-0.30078125)]</t>
  </si>
  <si>
    <t>[1]</t>
  </si>
  <si>
    <t>[0]</t>
  </si>
  <si>
    <t>[6.6761875829979545]</t>
  </si>
  <si>
    <t>[None]</t>
  </si>
  <si>
    <t>c_m_r_</t>
  </si>
  <si>
    <t>t_g_r</t>
  </si>
  <si>
    <t>[np.float64(-0.078125)]</t>
  </si>
  <si>
    <t>[np.float64(-0.2786458333333333)]</t>
  </si>
  <si>
    <t>[0.07557762500073295]</t>
  </si>
  <si>
    <t>['text_3']</t>
  </si>
  <si>
    <t>_ru_is_</t>
  </si>
  <si>
    <t>cruise</t>
  </si>
  <si>
    <t>crus</t>
  </si>
  <si>
    <t>_oo_</t>
  </si>
  <si>
    <t>look</t>
  </si>
  <si>
    <t>[9.298662790999515]</t>
  </si>
  <si>
    <t>_ha_t</t>
  </si>
  <si>
    <t>chart</t>
  </si>
  <si>
    <t>[7.014969959003793]</t>
  </si>
  <si>
    <t>k_y_</t>
  </si>
  <si>
    <t>keys</t>
  </si>
  <si>
    <t>[5.197949374996824]</t>
  </si>
  <si>
    <t>bo_t_e</t>
  </si>
  <si>
    <t>bottle</t>
  </si>
  <si>
    <t>[1.0129333750010119]</t>
  </si>
  <si>
    <t>_ia_n_</t>
  </si>
  <si>
    <t>pianon</t>
  </si>
  <si>
    <t>_ho_e</t>
  </si>
  <si>
    <t>phone</t>
  </si>
  <si>
    <t>[np.float64(-0.06640625)]</t>
  </si>
  <si>
    <t>[np.float64(-0.3020833333333333)]</t>
  </si>
  <si>
    <t>[6.7234844580016215]</t>
  </si>
  <si>
    <t>c_s_</t>
  </si>
  <si>
    <t>case</t>
  </si>
  <si>
    <t>[2.914310457999818]</t>
  </si>
  <si>
    <t>_o_rd</t>
  </si>
  <si>
    <t>coa</t>
  </si>
  <si>
    <t xml:space="preserve">no. of hit from primed list </t>
  </si>
  <si>
    <t>no. of hit from non primed words</t>
  </si>
  <si>
    <t>Priming Score</t>
  </si>
  <si>
    <t>primed</t>
  </si>
  <si>
    <t xml:space="preserve">non primed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</si>
</sst>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Fill="1"/>
    <xf numFmtId="0" fontId="14" fillId="0" borderId="0" xfId="0" applyFont="1"/>
    <xf numFmtId="0" fontId="14" fillId="34" borderId="0" xfId="0" applyFont="1" applyFill="1"/>
    <xf numFmtId="0" fontId="0" fillId="34" borderId="0" xfId="0" applyFill="1"/>
    <xf numFmtId="0" fontId="18" fillId="0" borderId="0" xfId="0" applyFont="1"/>
    <xf numFmtId="0" fontId="0" fillId="35" borderId="0" xfId="0" applyFill="1"/>
    <xf numFmtId="0" fontId="18" fillId="33" borderId="0" xfId="0" applyFont="1" applyFill="1"/>
    <xf numFmtId="0" fontId="18" fillId="0" borderId="10" xfId="0" applyFont="1" applyBorder="1"/>
    <xf numFmtId="0" fontId="17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49"/>
  <sheetViews>
    <sheetView tabSelected="1" topLeftCell="A18" workbookViewId="0">
      <selection activeCell="I51" sqref="I51"/>
    </sheetView>
  </sheetViews>
  <sheetFormatPr baseColWidth="10" defaultRowHeight="16" x14ac:dyDescent="0.2"/>
  <sheetData>
    <row r="1" spans="1:5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2">
      <c r="A2" t="s">
        <v>59</v>
      </c>
      <c r="B2">
        <v>0</v>
      </c>
      <c r="C2">
        <v>0</v>
      </c>
      <c r="D2">
        <v>0</v>
      </c>
      <c r="E2">
        <v>1</v>
      </c>
      <c r="F2">
        <v>7.8655563749998603</v>
      </c>
      <c r="R2">
        <v>0</v>
      </c>
      <c r="S2">
        <v>0</v>
      </c>
      <c r="T2">
        <v>0</v>
      </c>
      <c r="U2">
        <v>11</v>
      </c>
      <c r="Z2">
        <v>0.100469916993461</v>
      </c>
      <c r="AB2">
        <v>4.8511749999306603E-2</v>
      </c>
      <c r="AC2">
        <v>0.100469916993461</v>
      </c>
      <c r="AD2">
        <v>0.100469916993461</v>
      </c>
      <c r="AE2">
        <v>7.9201502919968298</v>
      </c>
      <c r="AF2">
        <v>1</v>
      </c>
      <c r="AG2">
        <v>7.8655563749998603</v>
      </c>
      <c r="AZ2" t="s">
        <v>60</v>
      </c>
      <c r="BA2">
        <v>1</v>
      </c>
      <c r="BB2" t="s">
        <v>61</v>
      </c>
      <c r="BC2" t="s">
        <v>62</v>
      </c>
      <c r="BE2" t="s">
        <v>63</v>
      </c>
      <c r="BF2">
        <v>120.27784230008299</v>
      </c>
      <c r="BG2" t="s">
        <v>64</v>
      </c>
    </row>
    <row r="3" spans="1:59" x14ac:dyDescent="0.2">
      <c r="A3" t="s">
        <v>65</v>
      </c>
      <c r="B3">
        <v>1</v>
      </c>
      <c r="C3">
        <v>1</v>
      </c>
      <c r="D3">
        <v>0</v>
      </c>
      <c r="E3">
        <v>1</v>
      </c>
      <c r="F3">
        <v>2.4968725420039801</v>
      </c>
      <c r="R3">
        <v>0</v>
      </c>
      <c r="S3">
        <v>1</v>
      </c>
      <c r="T3">
        <v>1</v>
      </c>
      <c r="U3">
        <v>15</v>
      </c>
      <c r="Z3">
        <v>7.9456981669936697</v>
      </c>
      <c r="AB3">
        <v>7.9237432079971697</v>
      </c>
      <c r="AC3">
        <v>7.9456981669936697</v>
      </c>
      <c r="AD3">
        <v>7.9456981669936697</v>
      </c>
      <c r="AE3">
        <v>10.428662541999</v>
      </c>
      <c r="AF3">
        <v>1</v>
      </c>
      <c r="AG3">
        <v>2.4968725420039801</v>
      </c>
      <c r="AZ3" t="s">
        <v>60</v>
      </c>
      <c r="BA3">
        <v>1</v>
      </c>
      <c r="BB3" t="s">
        <v>61</v>
      </c>
      <c r="BC3" t="s">
        <v>62</v>
      </c>
      <c r="BE3" t="s">
        <v>63</v>
      </c>
      <c r="BF3">
        <v>120.27784230008299</v>
      </c>
      <c r="BG3" t="s">
        <v>64</v>
      </c>
    </row>
    <row r="4" spans="1:59" x14ac:dyDescent="0.2">
      <c r="A4" t="s">
        <v>66</v>
      </c>
      <c r="B4">
        <v>2</v>
      </c>
      <c r="C4">
        <v>2</v>
      </c>
      <c r="D4">
        <v>0</v>
      </c>
      <c r="E4">
        <v>1</v>
      </c>
      <c r="F4">
        <v>2.46967408299678</v>
      </c>
      <c r="R4">
        <v>0</v>
      </c>
      <c r="S4">
        <v>2</v>
      </c>
      <c r="T4">
        <v>2</v>
      </c>
      <c r="U4">
        <v>10</v>
      </c>
      <c r="Z4">
        <v>10.438379332998</v>
      </c>
      <c r="AB4">
        <v>10.4334768749977</v>
      </c>
      <c r="AC4">
        <v>10.438379332998</v>
      </c>
      <c r="AD4">
        <v>10.438379332998</v>
      </c>
      <c r="AE4">
        <v>12.912094374994901</v>
      </c>
      <c r="AF4">
        <v>1</v>
      </c>
      <c r="AG4">
        <v>2.46967408299678</v>
      </c>
      <c r="AZ4" t="s">
        <v>60</v>
      </c>
      <c r="BA4">
        <v>1</v>
      </c>
      <c r="BB4" t="s">
        <v>61</v>
      </c>
      <c r="BC4" t="s">
        <v>62</v>
      </c>
      <c r="BE4" t="s">
        <v>63</v>
      </c>
      <c r="BF4">
        <v>120.27784230008299</v>
      </c>
      <c r="BG4" t="s">
        <v>64</v>
      </c>
    </row>
    <row r="5" spans="1:59" x14ac:dyDescent="0.2">
      <c r="A5" t="s">
        <v>67</v>
      </c>
      <c r="B5">
        <v>3</v>
      </c>
      <c r="C5">
        <v>3</v>
      </c>
      <c r="D5">
        <v>0</v>
      </c>
      <c r="E5">
        <v>1</v>
      </c>
      <c r="F5">
        <v>2.0888344580016498</v>
      </c>
      <c r="R5">
        <v>0</v>
      </c>
      <c r="S5">
        <v>3</v>
      </c>
      <c r="T5">
        <v>3</v>
      </c>
      <c r="U5">
        <v>6</v>
      </c>
      <c r="Z5">
        <v>12.9200015419992</v>
      </c>
      <c r="AB5">
        <v>12.9151259169957</v>
      </c>
      <c r="AC5">
        <v>12.9200015419992</v>
      </c>
      <c r="AD5">
        <v>12.9200015419992</v>
      </c>
      <c r="AE5">
        <v>15.011915707997099</v>
      </c>
      <c r="AF5">
        <v>1</v>
      </c>
      <c r="AG5">
        <v>2.0888344580016498</v>
      </c>
      <c r="AZ5" t="s">
        <v>60</v>
      </c>
      <c r="BA5">
        <v>1</v>
      </c>
      <c r="BB5" t="s">
        <v>61</v>
      </c>
      <c r="BC5" t="s">
        <v>62</v>
      </c>
      <c r="BE5" t="s">
        <v>63</v>
      </c>
      <c r="BF5">
        <v>120.27784230008299</v>
      </c>
      <c r="BG5" t="s">
        <v>64</v>
      </c>
    </row>
    <row r="6" spans="1:59" x14ac:dyDescent="0.2">
      <c r="A6" t="s">
        <v>68</v>
      </c>
      <c r="B6">
        <v>4</v>
      </c>
      <c r="C6">
        <v>4</v>
      </c>
      <c r="D6">
        <v>0</v>
      </c>
      <c r="E6">
        <v>1</v>
      </c>
      <c r="F6">
        <v>1.7909414160021599</v>
      </c>
      <c r="R6">
        <v>0</v>
      </c>
      <c r="S6">
        <v>4</v>
      </c>
      <c r="T6">
        <v>4</v>
      </c>
      <c r="U6">
        <v>9</v>
      </c>
      <c r="Z6">
        <v>15.0205595829975</v>
      </c>
      <c r="AB6">
        <v>15.014310541999199</v>
      </c>
      <c r="AC6">
        <v>15.0205595829975</v>
      </c>
      <c r="AD6">
        <v>15.0205595829975</v>
      </c>
      <c r="AE6">
        <v>16.8120422079955</v>
      </c>
      <c r="AF6">
        <v>1</v>
      </c>
      <c r="AG6">
        <v>1.7909414160021599</v>
      </c>
      <c r="AZ6" t="s">
        <v>60</v>
      </c>
      <c r="BA6">
        <v>1</v>
      </c>
      <c r="BB6" t="s">
        <v>61</v>
      </c>
      <c r="BC6" t="s">
        <v>62</v>
      </c>
      <c r="BE6" t="s">
        <v>63</v>
      </c>
      <c r="BF6">
        <v>120.27784230008299</v>
      </c>
      <c r="BG6" t="s">
        <v>64</v>
      </c>
    </row>
    <row r="7" spans="1:59" x14ac:dyDescent="0.2">
      <c r="A7" t="s">
        <v>69</v>
      </c>
      <c r="B7">
        <v>5</v>
      </c>
      <c r="C7">
        <v>5</v>
      </c>
      <c r="D7">
        <v>0</v>
      </c>
      <c r="E7">
        <v>1</v>
      </c>
      <c r="F7">
        <v>1.05495566599711</v>
      </c>
      <c r="R7">
        <v>0</v>
      </c>
      <c r="S7">
        <v>5</v>
      </c>
      <c r="T7">
        <v>5</v>
      </c>
      <c r="U7">
        <v>1</v>
      </c>
      <c r="Z7">
        <v>16.820061749996899</v>
      </c>
      <c r="AB7">
        <v>16.814662832999598</v>
      </c>
      <c r="AC7">
        <v>16.820061749996899</v>
      </c>
      <c r="AD7">
        <v>16.820061749996899</v>
      </c>
      <c r="AE7">
        <v>17.878747416994798</v>
      </c>
      <c r="AF7">
        <v>1</v>
      </c>
      <c r="AG7">
        <v>1.05495566599711</v>
      </c>
      <c r="AZ7" t="s">
        <v>60</v>
      </c>
      <c r="BA7">
        <v>1</v>
      </c>
      <c r="BB7" t="s">
        <v>61</v>
      </c>
      <c r="BC7" t="s">
        <v>62</v>
      </c>
      <c r="BE7" t="s">
        <v>63</v>
      </c>
      <c r="BF7">
        <v>120.27784230008299</v>
      </c>
      <c r="BG7" t="s">
        <v>64</v>
      </c>
    </row>
    <row r="8" spans="1:59" x14ac:dyDescent="0.2">
      <c r="A8" t="s">
        <v>70</v>
      </c>
      <c r="B8">
        <v>6</v>
      </c>
      <c r="C8">
        <v>6</v>
      </c>
      <c r="D8">
        <v>0</v>
      </c>
      <c r="E8">
        <v>1</v>
      </c>
      <c r="F8">
        <v>2.6405267079971901</v>
      </c>
      <c r="R8">
        <v>0</v>
      </c>
      <c r="S8">
        <v>6</v>
      </c>
      <c r="T8">
        <v>6</v>
      </c>
      <c r="U8">
        <v>12</v>
      </c>
      <c r="Z8">
        <v>17.886047957996102</v>
      </c>
      <c r="AB8">
        <v>17.881176832997799</v>
      </c>
      <c r="AC8">
        <v>17.886047957996102</v>
      </c>
      <c r="AD8">
        <v>17.886047957996102</v>
      </c>
      <c r="AE8">
        <v>20.5287067079989</v>
      </c>
      <c r="AF8">
        <v>1</v>
      </c>
      <c r="AG8">
        <v>2.6405267079971901</v>
      </c>
      <c r="AZ8" t="s">
        <v>60</v>
      </c>
      <c r="BA8">
        <v>1</v>
      </c>
      <c r="BB8" t="s">
        <v>61</v>
      </c>
      <c r="BC8" t="s">
        <v>62</v>
      </c>
      <c r="BE8" t="s">
        <v>63</v>
      </c>
      <c r="BF8">
        <v>120.27784230008299</v>
      </c>
      <c r="BG8" t="s">
        <v>64</v>
      </c>
    </row>
    <row r="9" spans="1:59" x14ac:dyDescent="0.2">
      <c r="A9" t="s">
        <v>71</v>
      </c>
      <c r="B9">
        <v>7</v>
      </c>
      <c r="C9">
        <v>7</v>
      </c>
      <c r="D9">
        <v>0</v>
      </c>
      <c r="E9">
        <v>1</v>
      </c>
      <c r="F9">
        <v>1.3060439170003499</v>
      </c>
      <c r="R9">
        <v>0</v>
      </c>
      <c r="S9">
        <v>7</v>
      </c>
      <c r="T9">
        <v>7</v>
      </c>
      <c r="U9">
        <v>17</v>
      </c>
      <c r="Z9">
        <v>20.5372048329954</v>
      </c>
      <c r="AB9">
        <v>20.531461207996401</v>
      </c>
      <c r="AC9">
        <v>20.5372048329954</v>
      </c>
      <c r="AD9">
        <v>20.5372048329954</v>
      </c>
      <c r="AE9">
        <v>21.845355041994399</v>
      </c>
      <c r="AF9">
        <v>1</v>
      </c>
      <c r="AG9">
        <v>1.3060439170003499</v>
      </c>
      <c r="AZ9" t="s">
        <v>60</v>
      </c>
      <c r="BA9">
        <v>1</v>
      </c>
      <c r="BB9" t="s">
        <v>61</v>
      </c>
      <c r="BC9" t="s">
        <v>62</v>
      </c>
      <c r="BE9" t="s">
        <v>63</v>
      </c>
      <c r="BF9">
        <v>120.27784230008299</v>
      </c>
      <c r="BG9" t="s">
        <v>64</v>
      </c>
    </row>
    <row r="10" spans="1:59" x14ac:dyDescent="0.2">
      <c r="A10" t="s">
        <v>72</v>
      </c>
      <c r="B10">
        <v>8</v>
      </c>
      <c r="C10">
        <v>8</v>
      </c>
      <c r="D10">
        <v>0</v>
      </c>
      <c r="E10">
        <v>1</v>
      </c>
      <c r="F10">
        <v>1.1747279170012901</v>
      </c>
      <c r="R10">
        <v>0</v>
      </c>
      <c r="S10">
        <v>8</v>
      </c>
      <c r="T10">
        <v>8</v>
      </c>
      <c r="U10">
        <v>5</v>
      </c>
      <c r="Z10">
        <v>21.853418624996198</v>
      </c>
      <c r="AB10">
        <v>21.847209249994101</v>
      </c>
      <c r="AC10">
        <v>21.853418624996198</v>
      </c>
      <c r="AD10">
        <v>21.853418624996198</v>
      </c>
      <c r="AE10">
        <v>23.028715332999099</v>
      </c>
      <c r="AF10">
        <v>1</v>
      </c>
      <c r="AG10">
        <v>1.1747279170012901</v>
      </c>
      <c r="AZ10" t="s">
        <v>60</v>
      </c>
      <c r="BA10">
        <v>1</v>
      </c>
      <c r="BB10" t="s">
        <v>61</v>
      </c>
      <c r="BC10" t="s">
        <v>62</v>
      </c>
      <c r="BE10" t="s">
        <v>63</v>
      </c>
      <c r="BF10">
        <v>120.27784230008299</v>
      </c>
      <c r="BG10" t="s">
        <v>64</v>
      </c>
    </row>
    <row r="11" spans="1:59" x14ac:dyDescent="0.2">
      <c r="A11" t="s">
        <v>73</v>
      </c>
      <c r="B11">
        <v>9</v>
      </c>
      <c r="C11">
        <v>9</v>
      </c>
      <c r="D11">
        <v>0</v>
      </c>
      <c r="E11">
        <v>1</v>
      </c>
      <c r="F11">
        <v>1.47367833400494</v>
      </c>
      <c r="R11">
        <v>0</v>
      </c>
      <c r="S11">
        <v>9</v>
      </c>
      <c r="T11">
        <v>9</v>
      </c>
      <c r="U11">
        <v>16</v>
      </c>
      <c r="Z11">
        <v>23.0357604169985</v>
      </c>
      <c r="AB11">
        <v>23.030552124997399</v>
      </c>
      <c r="AC11">
        <v>23.0357604169985</v>
      </c>
      <c r="AD11">
        <v>23.0357604169985</v>
      </c>
      <c r="AE11">
        <v>24.512050499994</v>
      </c>
      <c r="AF11">
        <v>1</v>
      </c>
      <c r="AG11">
        <v>1.47367833400494</v>
      </c>
      <c r="AZ11" t="s">
        <v>60</v>
      </c>
      <c r="BA11">
        <v>1</v>
      </c>
      <c r="BB11" t="s">
        <v>61</v>
      </c>
      <c r="BC11" t="s">
        <v>62</v>
      </c>
      <c r="BE11" t="s">
        <v>63</v>
      </c>
      <c r="BF11">
        <v>120.27784230008299</v>
      </c>
      <c r="BG11" t="s">
        <v>64</v>
      </c>
    </row>
    <row r="12" spans="1:59" x14ac:dyDescent="0.2">
      <c r="A12" t="s">
        <v>74</v>
      </c>
      <c r="B12">
        <v>10</v>
      </c>
      <c r="C12">
        <v>10</v>
      </c>
      <c r="D12">
        <v>0</v>
      </c>
      <c r="E12">
        <v>1</v>
      </c>
      <c r="F12">
        <v>2.83966479200171</v>
      </c>
      <c r="R12">
        <v>0</v>
      </c>
      <c r="S12">
        <v>10</v>
      </c>
      <c r="T12">
        <v>10</v>
      </c>
      <c r="U12">
        <v>3</v>
      </c>
      <c r="Z12">
        <v>24.520214707998001</v>
      </c>
      <c r="AB12">
        <v>24.514636166997601</v>
      </c>
      <c r="AC12">
        <v>24.520214707998001</v>
      </c>
      <c r="AD12">
        <v>24.520214707998001</v>
      </c>
      <c r="AE12">
        <v>27.361991374993501</v>
      </c>
      <c r="AF12">
        <v>1</v>
      </c>
      <c r="AG12">
        <v>2.83966479200171</v>
      </c>
      <c r="AZ12" t="s">
        <v>60</v>
      </c>
      <c r="BA12">
        <v>1</v>
      </c>
      <c r="BB12" t="s">
        <v>61</v>
      </c>
      <c r="BC12" t="s">
        <v>62</v>
      </c>
      <c r="BE12" t="s">
        <v>63</v>
      </c>
      <c r="BF12">
        <v>120.27784230008299</v>
      </c>
      <c r="BG12" t="s">
        <v>64</v>
      </c>
    </row>
    <row r="13" spans="1:59" x14ac:dyDescent="0.2">
      <c r="A13" t="s">
        <v>75</v>
      </c>
      <c r="B13">
        <v>11</v>
      </c>
      <c r="C13">
        <v>11</v>
      </c>
      <c r="D13">
        <v>0</v>
      </c>
      <c r="E13">
        <v>1.0260416666666601</v>
      </c>
      <c r="F13">
        <v>1.9396026249960401</v>
      </c>
      <c r="R13">
        <v>0</v>
      </c>
      <c r="S13">
        <v>11</v>
      </c>
      <c r="T13">
        <v>11</v>
      </c>
      <c r="U13">
        <v>0</v>
      </c>
      <c r="Z13">
        <v>27.3706079999974</v>
      </c>
      <c r="AB13">
        <v>27.3646929999958</v>
      </c>
      <c r="AC13">
        <v>27.3706079999974</v>
      </c>
      <c r="AD13">
        <v>27.3706079999974</v>
      </c>
      <c r="AE13">
        <v>29.311931041993301</v>
      </c>
      <c r="AF13">
        <v>1.0260416666666601</v>
      </c>
      <c r="AG13">
        <v>1.9396026249960401</v>
      </c>
      <c r="AZ13" t="s">
        <v>60</v>
      </c>
      <c r="BA13">
        <v>1</v>
      </c>
      <c r="BB13" t="s">
        <v>61</v>
      </c>
      <c r="BC13" t="s">
        <v>62</v>
      </c>
      <c r="BE13" t="s">
        <v>63</v>
      </c>
      <c r="BF13">
        <v>120.27784230008299</v>
      </c>
      <c r="BG13" t="s">
        <v>64</v>
      </c>
    </row>
    <row r="14" spans="1:59" x14ac:dyDescent="0.2">
      <c r="A14" t="s">
        <v>76</v>
      </c>
      <c r="B14">
        <v>12</v>
      </c>
      <c r="C14">
        <v>12</v>
      </c>
      <c r="D14">
        <v>0</v>
      </c>
      <c r="E14">
        <v>1.0260416666666601</v>
      </c>
      <c r="F14">
        <v>1.10645383299561</v>
      </c>
      <c r="R14">
        <v>0</v>
      </c>
      <c r="S14">
        <v>12</v>
      </c>
      <c r="T14">
        <v>12</v>
      </c>
      <c r="U14">
        <v>8</v>
      </c>
      <c r="Z14">
        <v>29.320461082999799</v>
      </c>
      <c r="AB14">
        <v>29.314923874997401</v>
      </c>
      <c r="AC14">
        <v>29.320461082999799</v>
      </c>
      <c r="AD14">
        <v>29.320461082999799</v>
      </c>
      <c r="AE14">
        <v>30.4286099169985</v>
      </c>
      <c r="AF14">
        <v>1.0260416666666601</v>
      </c>
      <c r="AG14">
        <v>1.10645383299561</v>
      </c>
      <c r="AZ14" t="s">
        <v>60</v>
      </c>
      <c r="BA14">
        <v>1</v>
      </c>
      <c r="BB14" t="s">
        <v>61</v>
      </c>
      <c r="BC14" t="s">
        <v>62</v>
      </c>
      <c r="BE14" t="s">
        <v>63</v>
      </c>
      <c r="BF14">
        <v>120.27784230008299</v>
      </c>
      <c r="BG14" t="s">
        <v>64</v>
      </c>
    </row>
    <row r="15" spans="1:59" x14ac:dyDescent="0.2">
      <c r="A15" t="s">
        <v>77</v>
      </c>
      <c r="B15">
        <v>13</v>
      </c>
      <c r="C15">
        <v>13</v>
      </c>
      <c r="D15">
        <v>0</v>
      </c>
      <c r="E15">
        <v>1.0260416666666601</v>
      </c>
      <c r="F15">
        <v>1.25627708299725</v>
      </c>
      <c r="R15">
        <v>0</v>
      </c>
      <c r="S15">
        <v>13</v>
      </c>
      <c r="T15">
        <v>13</v>
      </c>
      <c r="U15">
        <v>7</v>
      </c>
      <c r="Z15">
        <v>30.4364519999944</v>
      </c>
      <c r="AB15">
        <v>30.431128916999999</v>
      </c>
      <c r="AC15">
        <v>30.4364519999944</v>
      </c>
      <c r="AD15">
        <v>30.4364519999944</v>
      </c>
      <c r="AE15">
        <v>31.695290832998499</v>
      </c>
      <c r="AF15">
        <v>1.0260416666666601</v>
      </c>
      <c r="AG15">
        <v>1.25627708299725</v>
      </c>
      <c r="AZ15" t="s">
        <v>60</v>
      </c>
      <c r="BA15">
        <v>1</v>
      </c>
      <c r="BB15" t="s">
        <v>61</v>
      </c>
      <c r="BC15" t="s">
        <v>62</v>
      </c>
      <c r="BE15" t="s">
        <v>63</v>
      </c>
      <c r="BF15">
        <v>120.27784230008299</v>
      </c>
      <c r="BG15" t="s">
        <v>64</v>
      </c>
    </row>
    <row r="16" spans="1:59" x14ac:dyDescent="0.2">
      <c r="A16" t="s">
        <v>78</v>
      </c>
      <c r="B16">
        <v>14</v>
      </c>
      <c r="C16">
        <v>14</v>
      </c>
      <c r="D16">
        <v>0</v>
      </c>
      <c r="E16">
        <v>1.0260416666666601</v>
      </c>
      <c r="F16">
        <v>3.25691329200344</v>
      </c>
      <c r="R16">
        <v>0</v>
      </c>
      <c r="S16">
        <v>14</v>
      </c>
      <c r="T16">
        <v>14</v>
      </c>
      <c r="U16">
        <v>2</v>
      </c>
      <c r="Z16">
        <v>31.703236541994499</v>
      </c>
      <c r="AB16">
        <v>31.6976282079995</v>
      </c>
      <c r="AC16">
        <v>31.703236541994499</v>
      </c>
      <c r="AD16">
        <v>31.703236541994499</v>
      </c>
      <c r="AE16">
        <v>34.962045916996402</v>
      </c>
      <c r="AF16">
        <v>1.0260416666666601</v>
      </c>
      <c r="AG16">
        <v>3.25691329200344</v>
      </c>
      <c r="AZ16" t="s">
        <v>60</v>
      </c>
      <c r="BA16">
        <v>1</v>
      </c>
      <c r="BB16" t="s">
        <v>61</v>
      </c>
      <c r="BC16" t="s">
        <v>62</v>
      </c>
      <c r="BE16" t="s">
        <v>63</v>
      </c>
      <c r="BF16">
        <v>120.27784230008299</v>
      </c>
      <c r="BG16" t="s">
        <v>64</v>
      </c>
    </row>
    <row r="17" spans="1:59" x14ac:dyDescent="0.2">
      <c r="A17" t="s">
        <v>79</v>
      </c>
      <c r="B17">
        <v>15</v>
      </c>
      <c r="C17">
        <v>15</v>
      </c>
      <c r="D17">
        <v>0</v>
      </c>
      <c r="E17">
        <v>1</v>
      </c>
      <c r="F17">
        <v>1.6060545830041499</v>
      </c>
      <c r="R17">
        <v>0</v>
      </c>
      <c r="S17">
        <v>15</v>
      </c>
      <c r="T17">
        <v>15</v>
      </c>
      <c r="U17">
        <v>14</v>
      </c>
      <c r="Z17">
        <v>34.969789666996803</v>
      </c>
      <c r="AB17">
        <v>34.964032874995603</v>
      </c>
      <c r="AC17">
        <v>34.969789666996803</v>
      </c>
      <c r="AD17">
        <v>34.969789666996803</v>
      </c>
      <c r="AE17">
        <v>36.578893541998603</v>
      </c>
      <c r="AF17">
        <v>1</v>
      </c>
      <c r="AG17">
        <v>1.6060545830041499</v>
      </c>
      <c r="AZ17" t="s">
        <v>60</v>
      </c>
      <c r="BA17">
        <v>1</v>
      </c>
      <c r="BB17" t="s">
        <v>61</v>
      </c>
      <c r="BC17" t="s">
        <v>62</v>
      </c>
      <c r="BE17" t="s">
        <v>63</v>
      </c>
      <c r="BF17">
        <v>120.27784230008299</v>
      </c>
      <c r="BG17" t="s">
        <v>64</v>
      </c>
    </row>
    <row r="18" spans="1:59" x14ac:dyDescent="0.2">
      <c r="A18" t="s">
        <v>80</v>
      </c>
      <c r="B18">
        <v>16</v>
      </c>
      <c r="C18">
        <v>16</v>
      </c>
      <c r="D18">
        <v>0</v>
      </c>
      <c r="E18">
        <v>1</v>
      </c>
      <c r="F18">
        <v>1.2725080839954801</v>
      </c>
      <c r="R18">
        <v>0</v>
      </c>
      <c r="S18">
        <v>16</v>
      </c>
      <c r="T18">
        <v>16</v>
      </c>
      <c r="U18">
        <v>4</v>
      </c>
      <c r="Z18">
        <v>36.5860116249969</v>
      </c>
      <c r="AB18">
        <v>36.580798167000403</v>
      </c>
      <c r="AC18">
        <v>36.5860116249969</v>
      </c>
      <c r="AD18">
        <v>36.5860116249969</v>
      </c>
      <c r="AE18">
        <v>37.862051582996997</v>
      </c>
      <c r="AF18">
        <v>1</v>
      </c>
      <c r="AG18">
        <v>1.2725080839954801</v>
      </c>
      <c r="AZ18" t="s">
        <v>60</v>
      </c>
      <c r="BA18">
        <v>1</v>
      </c>
      <c r="BB18" t="s">
        <v>61</v>
      </c>
      <c r="BC18" t="s">
        <v>62</v>
      </c>
      <c r="BE18" t="s">
        <v>63</v>
      </c>
      <c r="BF18">
        <v>120.27784230008299</v>
      </c>
      <c r="BG18" t="s">
        <v>64</v>
      </c>
    </row>
    <row r="19" spans="1:59" x14ac:dyDescent="0.2">
      <c r="A19" t="s">
        <v>81</v>
      </c>
      <c r="B19">
        <v>17</v>
      </c>
      <c r="C19">
        <v>17</v>
      </c>
      <c r="D19">
        <v>0</v>
      </c>
      <c r="E19">
        <v>1</v>
      </c>
      <c r="F19">
        <v>1.0736543750026599</v>
      </c>
      <c r="R19">
        <v>0</v>
      </c>
      <c r="S19">
        <v>17</v>
      </c>
      <c r="T19">
        <v>17</v>
      </c>
      <c r="U19">
        <v>13</v>
      </c>
      <c r="Z19">
        <v>37.869886957996599</v>
      </c>
      <c r="AB19">
        <v>37.863703124996299</v>
      </c>
      <c r="AC19">
        <v>37.869886957996599</v>
      </c>
      <c r="AD19">
        <v>37.869886957996599</v>
      </c>
      <c r="AE19">
        <v>38.945367582993597</v>
      </c>
      <c r="AF19">
        <v>1</v>
      </c>
      <c r="AG19">
        <v>1.0736543750026599</v>
      </c>
      <c r="AZ19" t="s">
        <v>60</v>
      </c>
      <c r="BA19">
        <v>1</v>
      </c>
      <c r="BB19" t="s">
        <v>61</v>
      </c>
      <c r="BC19" t="s">
        <v>62</v>
      </c>
      <c r="BE19" t="s">
        <v>63</v>
      </c>
      <c r="BF19">
        <v>120.27784230008299</v>
      </c>
      <c r="BG19" t="s">
        <v>64</v>
      </c>
    </row>
    <row r="20" spans="1:59" x14ac:dyDescent="0.2">
      <c r="B20">
        <v>0</v>
      </c>
      <c r="C20">
        <v>0</v>
      </c>
      <c r="D20">
        <v>0</v>
      </c>
      <c r="G20" t="s">
        <v>82</v>
      </c>
      <c r="H20" t="s">
        <v>83</v>
      </c>
      <c r="I20" s="1" t="s">
        <v>84</v>
      </c>
      <c r="J20" s="2" t="s">
        <v>85</v>
      </c>
      <c r="K20" t="s">
        <v>86</v>
      </c>
      <c r="L20" t="s">
        <v>86</v>
      </c>
      <c r="M20" t="s">
        <v>86</v>
      </c>
      <c r="N20" t="s">
        <v>86</v>
      </c>
      <c r="O20" t="s">
        <v>86</v>
      </c>
      <c r="P20" t="s">
        <v>86</v>
      </c>
      <c r="Q20" t="s">
        <v>86</v>
      </c>
      <c r="V20">
        <v>0</v>
      </c>
      <c r="W20">
        <v>0</v>
      </c>
      <c r="X20">
        <v>0</v>
      </c>
      <c r="Y20">
        <v>14</v>
      </c>
      <c r="Z20">
        <v>38.971963582996899</v>
      </c>
      <c r="AH20">
        <v>38.957613457998299</v>
      </c>
      <c r="AI20">
        <v>38.971963582996899</v>
      </c>
      <c r="AJ20">
        <v>38.971963582996899</v>
      </c>
      <c r="AK20">
        <v>38.971963582996899</v>
      </c>
      <c r="AL20">
        <v>1.22437499958323E-2</v>
      </c>
      <c r="AM20">
        <v>48.953320458000199</v>
      </c>
      <c r="AN20" t="s">
        <v>85</v>
      </c>
      <c r="AO20" t="s">
        <v>86</v>
      </c>
      <c r="AP20" t="s">
        <v>86</v>
      </c>
      <c r="AQ20" t="s">
        <v>86</v>
      </c>
      <c r="AR20" t="s">
        <v>86</v>
      </c>
      <c r="AS20" t="s">
        <v>86</v>
      </c>
      <c r="AT20" t="s">
        <v>86</v>
      </c>
      <c r="AU20" t="s">
        <v>86</v>
      </c>
      <c r="AZ20" t="s">
        <v>60</v>
      </c>
      <c r="BA20">
        <v>1</v>
      </c>
      <c r="BB20" t="s">
        <v>61</v>
      </c>
      <c r="BC20" t="s">
        <v>62</v>
      </c>
      <c r="BE20" t="s">
        <v>63</v>
      </c>
      <c r="BF20">
        <v>120.27784230008299</v>
      </c>
      <c r="BG20" t="s">
        <v>64</v>
      </c>
    </row>
    <row r="21" spans="1:59" x14ac:dyDescent="0.2">
      <c r="B21">
        <v>1</v>
      </c>
      <c r="C21">
        <v>1</v>
      </c>
      <c r="D21">
        <v>0</v>
      </c>
      <c r="G21" t="s">
        <v>87</v>
      </c>
      <c r="H21" t="s">
        <v>88</v>
      </c>
      <c r="I21" t="s">
        <v>89</v>
      </c>
      <c r="J21" s="3"/>
      <c r="K21" t="s">
        <v>86</v>
      </c>
      <c r="L21" t="s">
        <v>86</v>
      </c>
      <c r="M21" t="s">
        <v>86</v>
      </c>
      <c r="N21" t="s">
        <v>86</v>
      </c>
      <c r="O21" t="s">
        <v>86</v>
      </c>
      <c r="P21" t="s">
        <v>86</v>
      </c>
      <c r="Q21" t="s">
        <v>86</v>
      </c>
      <c r="V21">
        <v>0</v>
      </c>
      <c r="W21">
        <v>1</v>
      </c>
      <c r="X21">
        <v>1</v>
      </c>
      <c r="Y21">
        <v>22</v>
      </c>
      <c r="Z21">
        <v>48.979586416993698</v>
      </c>
      <c r="AH21">
        <v>48.955793374996503</v>
      </c>
      <c r="AI21">
        <v>48.979586416993698</v>
      </c>
      <c r="AJ21">
        <v>48.979586416993698</v>
      </c>
      <c r="AK21">
        <v>48.979586416993698</v>
      </c>
      <c r="AL21">
        <v>1.04338749952148E-2</v>
      </c>
      <c r="AM21">
        <v>58.953461457997001</v>
      </c>
      <c r="AO21" t="s">
        <v>86</v>
      </c>
      <c r="AP21" t="s">
        <v>86</v>
      </c>
      <c r="AQ21" t="s">
        <v>86</v>
      </c>
      <c r="AR21" t="s">
        <v>86</v>
      </c>
      <c r="AS21" t="s">
        <v>86</v>
      </c>
      <c r="AT21" t="s">
        <v>86</v>
      </c>
      <c r="AU21" t="s">
        <v>86</v>
      </c>
      <c r="AZ21" t="s">
        <v>60</v>
      </c>
      <c r="BA21">
        <v>1</v>
      </c>
      <c r="BB21" t="s">
        <v>61</v>
      </c>
      <c r="BC21" t="s">
        <v>62</v>
      </c>
      <c r="BE21" t="s">
        <v>63</v>
      </c>
      <c r="BF21">
        <v>120.27784230008299</v>
      </c>
      <c r="BG21" t="s">
        <v>64</v>
      </c>
    </row>
    <row r="22" spans="1:59" x14ac:dyDescent="0.2">
      <c r="B22">
        <v>2</v>
      </c>
      <c r="C22">
        <v>2</v>
      </c>
      <c r="D22">
        <v>0</v>
      </c>
      <c r="G22" t="s">
        <v>90</v>
      </c>
      <c r="H22" t="s">
        <v>67</v>
      </c>
      <c r="I22" s="1" t="s">
        <v>91</v>
      </c>
      <c r="J22" s="2" t="s">
        <v>92</v>
      </c>
      <c r="K22" t="s">
        <v>86</v>
      </c>
      <c r="L22" t="s">
        <v>86</v>
      </c>
      <c r="M22" t="s">
        <v>86</v>
      </c>
      <c r="N22" t="s">
        <v>86</v>
      </c>
      <c r="O22" t="s">
        <v>86</v>
      </c>
      <c r="P22" t="s">
        <v>86</v>
      </c>
      <c r="Q22" t="s">
        <v>86</v>
      </c>
      <c r="V22">
        <v>0</v>
      </c>
      <c r="W22">
        <v>2</v>
      </c>
      <c r="X22">
        <v>2</v>
      </c>
      <c r="Y22">
        <v>18</v>
      </c>
      <c r="Z22">
        <v>58.961841207994397</v>
      </c>
      <c r="AH22">
        <v>58.955278499997803</v>
      </c>
      <c r="AI22">
        <v>58.961841207994397</v>
      </c>
      <c r="AJ22">
        <v>58.961841207994397</v>
      </c>
      <c r="AK22">
        <v>58.961841207994397</v>
      </c>
      <c r="AL22">
        <v>9.9091250012861495E-3</v>
      </c>
      <c r="AM22">
        <v>68.9452952079955</v>
      </c>
      <c r="AN22" t="s">
        <v>92</v>
      </c>
      <c r="AO22" t="s">
        <v>86</v>
      </c>
      <c r="AP22" t="s">
        <v>86</v>
      </c>
      <c r="AQ22" t="s">
        <v>86</v>
      </c>
      <c r="AR22" t="s">
        <v>86</v>
      </c>
      <c r="AS22" t="s">
        <v>86</v>
      </c>
      <c r="AT22" t="s">
        <v>86</v>
      </c>
      <c r="AU22" t="s">
        <v>86</v>
      </c>
      <c r="AV22">
        <v>68.954879541997798</v>
      </c>
      <c r="AW22">
        <v>68.954879541997798</v>
      </c>
      <c r="AX22">
        <v>68.954879541997798</v>
      </c>
      <c r="AY22">
        <v>9.9997812910005397</v>
      </c>
      <c r="AZ22" t="s">
        <v>60</v>
      </c>
      <c r="BA22">
        <v>1</v>
      </c>
      <c r="BB22" t="s">
        <v>61</v>
      </c>
      <c r="BC22" t="s">
        <v>62</v>
      </c>
      <c r="BE22" t="s">
        <v>63</v>
      </c>
      <c r="BF22">
        <v>120.27784230008299</v>
      </c>
      <c r="BG22" t="s">
        <v>64</v>
      </c>
    </row>
    <row r="23" spans="1:59" x14ac:dyDescent="0.2">
      <c r="B23">
        <v>3</v>
      </c>
      <c r="C23">
        <v>3</v>
      </c>
      <c r="D23">
        <v>0</v>
      </c>
      <c r="G23" t="s">
        <v>93</v>
      </c>
      <c r="H23" t="s">
        <v>59</v>
      </c>
      <c r="I23" s="1" t="s">
        <v>84</v>
      </c>
      <c r="J23" s="2" t="s">
        <v>94</v>
      </c>
      <c r="K23" t="s">
        <v>86</v>
      </c>
      <c r="L23" t="s">
        <v>86</v>
      </c>
      <c r="M23" t="s">
        <v>86</v>
      </c>
      <c r="N23" t="s">
        <v>86</v>
      </c>
      <c r="O23" t="s">
        <v>86</v>
      </c>
      <c r="P23" t="s">
        <v>86</v>
      </c>
      <c r="Q23" t="s">
        <v>86</v>
      </c>
      <c r="V23">
        <v>0</v>
      </c>
      <c r="W23">
        <v>3</v>
      </c>
      <c r="X23">
        <v>3</v>
      </c>
      <c r="Y23">
        <v>6</v>
      </c>
      <c r="Z23">
        <v>68.954879541997798</v>
      </c>
      <c r="AH23">
        <v>68.947329707996602</v>
      </c>
      <c r="AI23">
        <v>68.954879541997798</v>
      </c>
      <c r="AJ23">
        <v>68.954879541997798</v>
      </c>
      <c r="AK23">
        <v>68.954879541997798</v>
      </c>
      <c r="AL23">
        <v>1.9747499973163901E-3</v>
      </c>
      <c r="AM23">
        <v>78.9452371669976</v>
      </c>
      <c r="AN23" t="s">
        <v>94</v>
      </c>
      <c r="AO23" t="s">
        <v>86</v>
      </c>
      <c r="AP23" t="s">
        <v>86</v>
      </c>
      <c r="AQ23" t="s">
        <v>86</v>
      </c>
      <c r="AR23" t="s">
        <v>86</v>
      </c>
      <c r="AS23" t="s">
        <v>86</v>
      </c>
      <c r="AT23" t="s">
        <v>86</v>
      </c>
      <c r="AU23" t="s">
        <v>86</v>
      </c>
      <c r="AV23">
        <v>78.956423416995605</v>
      </c>
      <c r="AW23">
        <v>78.956423416995605</v>
      </c>
      <c r="AX23">
        <v>78.956423416995605</v>
      </c>
      <c r="AY23">
        <v>9.9996984579993295</v>
      </c>
      <c r="AZ23" t="s">
        <v>60</v>
      </c>
      <c r="BA23">
        <v>1</v>
      </c>
      <c r="BB23" t="s">
        <v>61</v>
      </c>
      <c r="BC23" t="s">
        <v>62</v>
      </c>
      <c r="BE23" t="s">
        <v>63</v>
      </c>
      <c r="BF23">
        <v>120.27784230008299</v>
      </c>
      <c r="BG23" t="s">
        <v>64</v>
      </c>
    </row>
    <row r="24" spans="1:59" x14ac:dyDescent="0.2">
      <c r="B24">
        <v>4</v>
      </c>
      <c r="C24">
        <v>4</v>
      </c>
      <c r="D24">
        <v>0</v>
      </c>
      <c r="G24" t="s">
        <v>95</v>
      </c>
      <c r="H24" t="s">
        <v>75</v>
      </c>
      <c r="I24" s="1" t="s">
        <v>91</v>
      </c>
      <c r="J24" s="2" t="s">
        <v>96</v>
      </c>
      <c r="K24" t="s">
        <v>86</v>
      </c>
      <c r="L24" t="s">
        <v>86</v>
      </c>
      <c r="M24" t="s">
        <v>86</v>
      </c>
      <c r="N24" t="s">
        <v>86</v>
      </c>
      <c r="O24" t="s">
        <v>86</v>
      </c>
      <c r="P24" t="s">
        <v>86</v>
      </c>
      <c r="Q24" t="s">
        <v>86</v>
      </c>
      <c r="V24">
        <v>0</v>
      </c>
      <c r="W24">
        <v>4</v>
      </c>
      <c r="X24">
        <v>4</v>
      </c>
      <c r="Y24">
        <v>0</v>
      </c>
      <c r="Z24">
        <v>78.956423416995605</v>
      </c>
      <c r="AH24">
        <v>78.947746624995403</v>
      </c>
      <c r="AI24">
        <v>78.956423416995605</v>
      </c>
      <c r="AJ24">
        <v>78.956423416995605</v>
      </c>
      <c r="AK24">
        <v>78.956423416995605</v>
      </c>
      <c r="AL24">
        <v>2.3839159985072902E-3</v>
      </c>
      <c r="AM24">
        <v>88.945346332999094</v>
      </c>
      <c r="AN24" t="s">
        <v>96</v>
      </c>
      <c r="AO24" t="s">
        <v>86</v>
      </c>
      <c r="AP24" t="s">
        <v>86</v>
      </c>
      <c r="AQ24" t="s">
        <v>86</v>
      </c>
      <c r="AR24" t="s">
        <v>86</v>
      </c>
      <c r="AS24" t="s">
        <v>86</v>
      </c>
      <c r="AT24" t="s">
        <v>86</v>
      </c>
      <c r="AU24" t="s">
        <v>86</v>
      </c>
      <c r="AV24">
        <v>88.955755291994095</v>
      </c>
      <c r="AW24">
        <v>88.955755291994095</v>
      </c>
      <c r="AX24">
        <v>88.955755291994095</v>
      </c>
      <c r="AY24">
        <v>9.9998039159982</v>
      </c>
      <c r="AZ24" t="s">
        <v>60</v>
      </c>
      <c r="BA24">
        <v>1</v>
      </c>
      <c r="BB24" t="s">
        <v>61</v>
      </c>
      <c r="BC24" t="s">
        <v>62</v>
      </c>
      <c r="BE24" t="s">
        <v>63</v>
      </c>
      <c r="BF24">
        <v>120.27784230008299</v>
      </c>
      <c r="BG24" t="s">
        <v>64</v>
      </c>
    </row>
    <row r="25" spans="1:59" x14ac:dyDescent="0.2">
      <c r="B25">
        <v>5</v>
      </c>
      <c r="C25">
        <v>5</v>
      </c>
      <c r="D25">
        <v>0</v>
      </c>
      <c r="G25" t="s">
        <v>97</v>
      </c>
      <c r="H25" t="s">
        <v>98</v>
      </c>
      <c r="I25" s="1" t="s">
        <v>84</v>
      </c>
      <c r="J25" s="3"/>
      <c r="K25" t="s">
        <v>86</v>
      </c>
      <c r="L25" t="s">
        <v>86</v>
      </c>
      <c r="M25" t="s">
        <v>86</v>
      </c>
      <c r="N25" t="s">
        <v>86</v>
      </c>
      <c r="O25" t="s">
        <v>86</v>
      </c>
      <c r="P25" t="s">
        <v>86</v>
      </c>
      <c r="Q25" t="s">
        <v>86</v>
      </c>
      <c r="V25">
        <v>0</v>
      </c>
      <c r="W25">
        <v>5</v>
      </c>
      <c r="X25">
        <v>5</v>
      </c>
      <c r="Y25">
        <v>11</v>
      </c>
      <c r="Z25">
        <v>88.955755291994095</v>
      </c>
      <c r="AH25">
        <v>88.947912042000098</v>
      </c>
      <c r="AI25">
        <v>88.955755291994095</v>
      </c>
      <c r="AJ25">
        <v>88.955755291994095</v>
      </c>
      <c r="AK25">
        <v>88.955755291994095</v>
      </c>
      <c r="AL25">
        <v>2.5499999974272201E-3</v>
      </c>
      <c r="AM25">
        <v>98.9452518749967</v>
      </c>
      <c r="AO25" t="s">
        <v>86</v>
      </c>
      <c r="AP25" t="s">
        <v>86</v>
      </c>
      <c r="AQ25" t="s">
        <v>86</v>
      </c>
      <c r="AR25" t="s">
        <v>86</v>
      </c>
      <c r="AS25" t="s">
        <v>86</v>
      </c>
      <c r="AT25" t="s">
        <v>86</v>
      </c>
      <c r="AU25" t="s">
        <v>86</v>
      </c>
      <c r="AV25">
        <v>98.953378874997696</v>
      </c>
      <c r="AW25">
        <v>98.953378874997696</v>
      </c>
      <c r="AX25">
        <v>98.953378874997696</v>
      </c>
      <c r="AY25">
        <v>9.9997573329965199</v>
      </c>
      <c r="AZ25" t="s">
        <v>60</v>
      </c>
      <c r="BA25">
        <v>1</v>
      </c>
      <c r="BB25" t="s">
        <v>61</v>
      </c>
      <c r="BC25" t="s">
        <v>62</v>
      </c>
      <c r="BE25" t="s">
        <v>63</v>
      </c>
      <c r="BF25">
        <v>120.27784230008299</v>
      </c>
      <c r="BG25" t="s">
        <v>64</v>
      </c>
    </row>
    <row r="26" spans="1:59" x14ac:dyDescent="0.2">
      <c r="B26">
        <v>6</v>
      </c>
      <c r="C26">
        <v>6</v>
      </c>
      <c r="D26">
        <v>0</v>
      </c>
      <c r="G26" t="s">
        <v>99</v>
      </c>
      <c r="H26" t="s">
        <v>100</v>
      </c>
      <c r="I26" s="1" t="s">
        <v>84</v>
      </c>
      <c r="J26" s="3"/>
      <c r="K26" t="s">
        <v>86</v>
      </c>
      <c r="L26" t="s">
        <v>86</v>
      </c>
      <c r="M26" t="s">
        <v>86</v>
      </c>
      <c r="N26" t="s">
        <v>86</v>
      </c>
      <c r="O26" t="s">
        <v>86</v>
      </c>
      <c r="P26" t="s">
        <v>86</v>
      </c>
      <c r="Q26" t="s">
        <v>86</v>
      </c>
      <c r="V26">
        <v>0</v>
      </c>
      <c r="W26">
        <v>6</v>
      </c>
      <c r="X26">
        <v>6</v>
      </c>
      <c r="Y26">
        <v>7</v>
      </c>
      <c r="Z26">
        <v>98.953378874997696</v>
      </c>
      <c r="AH26">
        <v>98.947018957995098</v>
      </c>
      <c r="AI26">
        <v>98.953378874997696</v>
      </c>
      <c r="AJ26">
        <v>98.953378874997696</v>
      </c>
      <c r="AK26">
        <v>98.953378874997696</v>
      </c>
      <c r="AL26">
        <v>1.6469580004923E-3</v>
      </c>
      <c r="AM26">
        <v>108.945188207995</v>
      </c>
      <c r="AO26" t="s">
        <v>86</v>
      </c>
      <c r="AP26" t="s">
        <v>86</v>
      </c>
      <c r="AQ26" t="s">
        <v>86</v>
      </c>
      <c r="AR26" t="s">
        <v>86</v>
      </c>
      <c r="AS26" t="s">
        <v>86</v>
      </c>
      <c r="AT26" t="s">
        <v>86</v>
      </c>
      <c r="AU26" t="s">
        <v>86</v>
      </c>
      <c r="AV26">
        <v>108.953019916996</v>
      </c>
      <c r="AW26">
        <v>108.953019916996</v>
      </c>
      <c r="AX26">
        <v>108.953019916996</v>
      </c>
      <c r="AY26">
        <v>9.9996942910001891</v>
      </c>
      <c r="AZ26" t="s">
        <v>60</v>
      </c>
      <c r="BA26">
        <v>1</v>
      </c>
      <c r="BB26" t="s">
        <v>61</v>
      </c>
      <c r="BC26" t="s">
        <v>62</v>
      </c>
      <c r="BE26" t="s">
        <v>63</v>
      </c>
      <c r="BF26">
        <v>120.27784230008299</v>
      </c>
      <c r="BG26" t="s">
        <v>64</v>
      </c>
    </row>
    <row r="27" spans="1:59" x14ac:dyDescent="0.2">
      <c r="B27">
        <v>7</v>
      </c>
      <c r="C27">
        <v>7</v>
      </c>
      <c r="D27">
        <v>0</v>
      </c>
      <c r="G27" t="s">
        <v>101</v>
      </c>
      <c r="H27" t="s">
        <v>102</v>
      </c>
      <c r="I27" s="1" t="s">
        <v>84</v>
      </c>
      <c r="J27" s="2" t="s">
        <v>101</v>
      </c>
      <c r="K27" t="s">
        <v>86</v>
      </c>
      <c r="L27" t="s">
        <v>86</v>
      </c>
      <c r="M27" t="s">
        <v>86</v>
      </c>
      <c r="N27" t="s">
        <v>86</v>
      </c>
      <c r="O27" t="s">
        <v>86</v>
      </c>
      <c r="P27" t="s">
        <v>86</v>
      </c>
      <c r="Q27" t="s">
        <v>86</v>
      </c>
      <c r="V27">
        <v>0</v>
      </c>
      <c r="W27">
        <v>7</v>
      </c>
      <c r="X27">
        <v>7</v>
      </c>
      <c r="Y27">
        <v>10</v>
      </c>
      <c r="Z27">
        <v>108.953019916996</v>
      </c>
      <c r="AH27">
        <v>108.94675483299901</v>
      </c>
      <c r="AI27">
        <v>108.953019916996</v>
      </c>
      <c r="AJ27">
        <v>108.953019916996</v>
      </c>
      <c r="AK27">
        <v>108.953019916996</v>
      </c>
      <c r="AL27">
        <v>1.38204100221628E-3</v>
      </c>
      <c r="AM27">
        <v>118.93614599999999</v>
      </c>
      <c r="AN27" t="s">
        <v>101</v>
      </c>
      <c r="AO27" t="s">
        <v>86</v>
      </c>
      <c r="AP27" t="s">
        <v>86</v>
      </c>
      <c r="AQ27" t="s">
        <v>86</v>
      </c>
      <c r="AR27" t="s">
        <v>86</v>
      </c>
      <c r="AS27" t="s">
        <v>86</v>
      </c>
      <c r="AT27" t="s">
        <v>86</v>
      </c>
      <c r="AU27" t="s">
        <v>86</v>
      </c>
      <c r="AV27">
        <v>118.94565233299301</v>
      </c>
      <c r="AW27">
        <v>118.94565233299301</v>
      </c>
      <c r="AX27">
        <v>118.94565233299301</v>
      </c>
      <c r="AY27">
        <v>9.9906119579973094</v>
      </c>
      <c r="AZ27" t="s">
        <v>60</v>
      </c>
      <c r="BA27">
        <v>1</v>
      </c>
      <c r="BB27" t="s">
        <v>61</v>
      </c>
      <c r="BC27" t="s">
        <v>62</v>
      </c>
      <c r="BE27" t="s">
        <v>63</v>
      </c>
      <c r="BF27">
        <v>120.27784230008299</v>
      </c>
      <c r="BG27" t="s">
        <v>64</v>
      </c>
    </row>
    <row r="28" spans="1:59" x14ac:dyDescent="0.2">
      <c r="B28">
        <v>8</v>
      </c>
      <c r="C28">
        <v>8</v>
      </c>
      <c r="D28">
        <v>0</v>
      </c>
      <c r="G28" t="s">
        <v>103</v>
      </c>
      <c r="H28" t="s">
        <v>104</v>
      </c>
      <c r="I28" s="1" t="s">
        <v>84</v>
      </c>
      <c r="J28" s="2" t="s">
        <v>105</v>
      </c>
      <c r="K28" t="s">
        <v>86</v>
      </c>
      <c r="L28" t="s">
        <v>86</v>
      </c>
      <c r="M28" t="s">
        <v>86</v>
      </c>
      <c r="N28" t="s">
        <v>86</v>
      </c>
      <c r="O28" t="s">
        <v>86</v>
      </c>
      <c r="P28" t="s">
        <v>86</v>
      </c>
      <c r="Q28" t="s">
        <v>86</v>
      </c>
      <c r="V28">
        <v>0</v>
      </c>
      <c r="W28">
        <v>8</v>
      </c>
      <c r="X28">
        <v>8</v>
      </c>
      <c r="Y28">
        <v>8</v>
      </c>
      <c r="Z28">
        <v>118.94565233299301</v>
      </c>
      <c r="AH28">
        <v>118.938310666999</v>
      </c>
      <c r="AI28">
        <v>118.94565233299301</v>
      </c>
      <c r="AJ28">
        <v>118.94565233299301</v>
      </c>
      <c r="AK28">
        <v>118.94565233299301</v>
      </c>
      <c r="AL28">
        <v>3.5316599678480998E-4</v>
      </c>
      <c r="AM28">
        <v>128.94530741699401</v>
      </c>
      <c r="AN28" t="s">
        <v>105</v>
      </c>
      <c r="AO28" t="s">
        <v>86</v>
      </c>
      <c r="AP28" t="s">
        <v>86</v>
      </c>
      <c r="AQ28" t="s">
        <v>86</v>
      </c>
      <c r="AR28" t="s">
        <v>86</v>
      </c>
      <c r="AS28" t="s">
        <v>86</v>
      </c>
      <c r="AT28" t="s">
        <v>86</v>
      </c>
      <c r="AU28" t="s">
        <v>86</v>
      </c>
      <c r="AV28">
        <v>128.93525470799699</v>
      </c>
      <c r="AW28">
        <v>128.93525470799699</v>
      </c>
      <c r="AX28">
        <v>128.93525470799699</v>
      </c>
      <c r="AY28">
        <v>9.9997983749999495</v>
      </c>
      <c r="AZ28" t="s">
        <v>60</v>
      </c>
      <c r="BA28">
        <v>1</v>
      </c>
      <c r="BB28" t="s">
        <v>61</v>
      </c>
      <c r="BC28" t="s">
        <v>62</v>
      </c>
      <c r="BE28" t="s">
        <v>63</v>
      </c>
      <c r="BF28">
        <v>120.27784230008299</v>
      </c>
      <c r="BG28" t="s">
        <v>64</v>
      </c>
    </row>
    <row r="29" spans="1:59" x14ac:dyDescent="0.2">
      <c r="B29">
        <v>9</v>
      </c>
      <c r="C29">
        <v>9</v>
      </c>
      <c r="D29">
        <v>0</v>
      </c>
      <c r="G29" t="s">
        <v>106</v>
      </c>
      <c r="H29" t="s">
        <v>74</v>
      </c>
      <c r="I29" s="1" t="s">
        <v>84</v>
      </c>
      <c r="J29" s="3"/>
      <c r="K29" t="s">
        <v>86</v>
      </c>
      <c r="L29" t="s">
        <v>86</v>
      </c>
      <c r="M29" t="s">
        <v>86</v>
      </c>
      <c r="N29" t="s">
        <v>86</v>
      </c>
      <c r="O29" t="s">
        <v>86</v>
      </c>
      <c r="P29" t="s">
        <v>86</v>
      </c>
      <c r="Q29" t="s">
        <v>86</v>
      </c>
      <c r="V29">
        <v>0</v>
      </c>
      <c r="W29">
        <v>9</v>
      </c>
      <c r="X29">
        <v>9</v>
      </c>
      <c r="Y29">
        <v>3</v>
      </c>
      <c r="Z29">
        <v>128.957340458</v>
      </c>
      <c r="AH29">
        <v>128.948771541996</v>
      </c>
      <c r="AI29">
        <v>128.957340458</v>
      </c>
      <c r="AJ29">
        <v>128.957340458</v>
      </c>
      <c r="AK29">
        <v>128.957340458</v>
      </c>
      <c r="AL29">
        <v>3.4189579964731798E-3</v>
      </c>
      <c r="AM29">
        <v>138.945214666993</v>
      </c>
      <c r="AO29" t="s">
        <v>86</v>
      </c>
      <c r="AP29" t="s">
        <v>86</v>
      </c>
      <c r="AQ29" t="s">
        <v>86</v>
      </c>
      <c r="AR29" t="s">
        <v>86</v>
      </c>
      <c r="AS29" t="s">
        <v>86</v>
      </c>
      <c r="AT29" t="s">
        <v>86</v>
      </c>
      <c r="AU29" t="s">
        <v>86</v>
      </c>
      <c r="AV29">
        <v>138.95377454199399</v>
      </c>
      <c r="AW29">
        <v>138.95377454199399</v>
      </c>
      <c r="AX29">
        <v>138.95377454199399</v>
      </c>
      <c r="AY29">
        <v>9.9997005409968498</v>
      </c>
      <c r="AZ29" t="s">
        <v>60</v>
      </c>
      <c r="BA29">
        <v>1</v>
      </c>
      <c r="BB29" t="s">
        <v>61</v>
      </c>
      <c r="BC29" t="s">
        <v>62</v>
      </c>
      <c r="BE29" t="s">
        <v>63</v>
      </c>
      <c r="BF29">
        <v>120.27784230008299</v>
      </c>
      <c r="BG29" t="s">
        <v>64</v>
      </c>
    </row>
    <row r="30" spans="1:59" x14ac:dyDescent="0.2">
      <c r="B30">
        <v>10</v>
      </c>
      <c r="C30">
        <v>10</v>
      </c>
      <c r="D30">
        <v>0</v>
      </c>
      <c r="G30" t="s">
        <v>107</v>
      </c>
      <c r="H30" t="s">
        <v>108</v>
      </c>
      <c r="I30" t="s">
        <v>89</v>
      </c>
      <c r="J30" s="3"/>
      <c r="K30" t="s">
        <v>86</v>
      </c>
      <c r="L30" t="s">
        <v>86</v>
      </c>
      <c r="M30" t="s">
        <v>86</v>
      </c>
      <c r="N30" t="s">
        <v>86</v>
      </c>
      <c r="O30" t="s">
        <v>86</v>
      </c>
      <c r="P30" t="s">
        <v>86</v>
      </c>
      <c r="Q30" t="s">
        <v>86</v>
      </c>
      <c r="V30">
        <v>0</v>
      </c>
      <c r="W30">
        <v>10</v>
      </c>
      <c r="X30">
        <v>10</v>
      </c>
      <c r="Y30">
        <v>21</v>
      </c>
      <c r="Z30">
        <v>138.95377454199399</v>
      </c>
      <c r="AH30">
        <v>138.94694770799799</v>
      </c>
      <c r="AI30">
        <v>138.95377454199399</v>
      </c>
      <c r="AJ30">
        <v>138.95377454199399</v>
      </c>
      <c r="AK30">
        <v>138.95377454199399</v>
      </c>
      <c r="AL30">
        <v>1.57762500020908E-3</v>
      </c>
      <c r="AM30">
        <v>148.93636524999599</v>
      </c>
      <c r="AO30" t="s">
        <v>86</v>
      </c>
      <c r="AP30" t="s">
        <v>86</v>
      </c>
      <c r="AQ30" t="s">
        <v>86</v>
      </c>
      <c r="AR30" t="s">
        <v>86</v>
      </c>
      <c r="AS30" t="s">
        <v>86</v>
      </c>
      <c r="AT30" t="s">
        <v>86</v>
      </c>
      <c r="AU30" t="s">
        <v>86</v>
      </c>
      <c r="AV30">
        <v>148.94496412499501</v>
      </c>
      <c r="AW30">
        <v>148.94496412499501</v>
      </c>
      <c r="AX30">
        <v>148.94496412499501</v>
      </c>
      <c r="AY30">
        <v>9.9908378749969398</v>
      </c>
      <c r="AZ30" t="s">
        <v>60</v>
      </c>
      <c r="BA30">
        <v>1</v>
      </c>
      <c r="BB30" t="s">
        <v>61</v>
      </c>
      <c r="BC30" t="s">
        <v>62</v>
      </c>
      <c r="BE30" t="s">
        <v>63</v>
      </c>
      <c r="BF30">
        <v>120.27784230008299</v>
      </c>
      <c r="BG30" t="s">
        <v>64</v>
      </c>
    </row>
    <row r="31" spans="1:59" x14ac:dyDescent="0.2">
      <c r="B31">
        <v>11</v>
      </c>
      <c r="C31">
        <v>11</v>
      </c>
      <c r="D31">
        <v>0</v>
      </c>
      <c r="G31" t="s">
        <v>109</v>
      </c>
      <c r="H31" t="s">
        <v>110</v>
      </c>
      <c r="I31" s="1" t="s">
        <v>91</v>
      </c>
      <c r="J31" s="2" t="s">
        <v>111</v>
      </c>
      <c r="K31" t="s">
        <v>112</v>
      </c>
      <c r="L31" t="s">
        <v>113</v>
      </c>
      <c r="M31" t="s">
        <v>114</v>
      </c>
      <c r="N31" t="s">
        <v>115</v>
      </c>
      <c r="O31" t="s">
        <v>115</v>
      </c>
      <c r="P31" t="s">
        <v>116</v>
      </c>
      <c r="Q31" t="s">
        <v>117</v>
      </c>
      <c r="V31">
        <v>0</v>
      </c>
      <c r="W31">
        <v>11</v>
      </c>
      <c r="X31">
        <v>11</v>
      </c>
      <c r="Y31">
        <v>16</v>
      </c>
      <c r="Z31">
        <v>148.94496412499501</v>
      </c>
      <c r="AH31">
        <v>148.938326457995</v>
      </c>
      <c r="AI31">
        <v>148.94496412499501</v>
      </c>
      <c r="AJ31">
        <v>148.94496412499501</v>
      </c>
      <c r="AK31">
        <v>148.94496412499501</v>
      </c>
      <c r="AL31">
        <v>-3.3958400308620098E-4</v>
      </c>
      <c r="AM31">
        <v>158.93503629199401</v>
      </c>
      <c r="AN31" t="s">
        <v>111</v>
      </c>
      <c r="AO31" t="s">
        <v>112</v>
      </c>
      <c r="AP31" t="s">
        <v>113</v>
      </c>
      <c r="AQ31" t="s">
        <v>114</v>
      </c>
      <c r="AR31" t="s">
        <v>115</v>
      </c>
      <c r="AS31" t="s">
        <v>115</v>
      </c>
      <c r="AT31" t="s">
        <v>116</v>
      </c>
      <c r="AU31" t="s">
        <v>117</v>
      </c>
      <c r="AV31">
        <v>158.93489395799401</v>
      </c>
      <c r="AW31">
        <v>158.93489395799401</v>
      </c>
      <c r="AX31">
        <v>158.93489395799401</v>
      </c>
      <c r="AY31">
        <v>9.9895535409959795</v>
      </c>
      <c r="AZ31" t="s">
        <v>60</v>
      </c>
      <c r="BA31">
        <v>1</v>
      </c>
      <c r="BB31" t="s">
        <v>61</v>
      </c>
      <c r="BC31" t="s">
        <v>62</v>
      </c>
      <c r="BE31" t="s">
        <v>63</v>
      </c>
      <c r="BF31">
        <v>120.27784230008299</v>
      </c>
      <c r="BG31" t="s">
        <v>64</v>
      </c>
    </row>
    <row r="32" spans="1:59" x14ac:dyDescent="0.2">
      <c r="B32">
        <v>12</v>
      </c>
      <c r="C32">
        <v>12</v>
      </c>
      <c r="D32">
        <v>0</v>
      </c>
      <c r="G32" t="s">
        <v>118</v>
      </c>
      <c r="H32" t="s">
        <v>72</v>
      </c>
      <c r="I32" s="1" t="s">
        <v>84</v>
      </c>
      <c r="J32" s="4"/>
      <c r="K32" t="s">
        <v>86</v>
      </c>
      <c r="L32" t="s">
        <v>86</v>
      </c>
      <c r="M32" t="s">
        <v>86</v>
      </c>
      <c r="N32" t="s">
        <v>86</v>
      </c>
      <c r="O32" t="s">
        <v>86</v>
      </c>
      <c r="P32" t="s">
        <v>86</v>
      </c>
      <c r="Q32" t="s">
        <v>86</v>
      </c>
      <c r="V32">
        <v>0</v>
      </c>
      <c r="W32">
        <v>12</v>
      </c>
      <c r="X32">
        <v>12</v>
      </c>
      <c r="Y32">
        <v>5</v>
      </c>
      <c r="Z32">
        <v>158.944923124996</v>
      </c>
      <c r="AH32">
        <v>158.93726820799901</v>
      </c>
      <c r="AI32">
        <v>158.944923124996</v>
      </c>
      <c r="AJ32">
        <v>158.944923124996</v>
      </c>
      <c r="AK32">
        <v>158.944923124996</v>
      </c>
      <c r="AL32">
        <v>-4.0308399911736999E-4</v>
      </c>
      <c r="AM32">
        <v>168.93614312499901</v>
      </c>
      <c r="AO32" t="s">
        <v>86</v>
      </c>
      <c r="AP32" t="s">
        <v>86</v>
      </c>
      <c r="AQ32" t="s">
        <v>86</v>
      </c>
      <c r="AR32" t="s">
        <v>86</v>
      </c>
      <c r="AS32" t="s">
        <v>86</v>
      </c>
      <c r="AT32" t="s">
        <v>86</v>
      </c>
      <c r="AU32" t="s">
        <v>86</v>
      </c>
      <c r="AV32">
        <v>168.936009791999</v>
      </c>
      <c r="AW32">
        <v>168.936009791999</v>
      </c>
      <c r="AX32">
        <v>168.936009791999</v>
      </c>
      <c r="AY32">
        <v>9.9906694160017597</v>
      </c>
      <c r="AZ32" t="s">
        <v>60</v>
      </c>
      <c r="BA32">
        <v>1</v>
      </c>
      <c r="BB32" t="s">
        <v>61</v>
      </c>
      <c r="BC32" t="s">
        <v>62</v>
      </c>
      <c r="BE32" t="s">
        <v>63</v>
      </c>
      <c r="BF32">
        <v>120.27784230008299</v>
      </c>
      <c r="BG32" t="s">
        <v>64</v>
      </c>
    </row>
    <row r="33" spans="2:59" x14ac:dyDescent="0.2">
      <c r="B33">
        <v>13</v>
      </c>
      <c r="C33">
        <v>13</v>
      </c>
      <c r="D33">
        <v>0</v>
      </c>
      <c r="G33" t="s">
        <v>119</v>
      </c>
      <c r="H33" t="s">
        <v>69</v>
      </c>
      <c r="I33" s="1" t="s">
        <v>84</v>
      </c>
      <c r="J33" s="4"/>
      <c r="K33" t="s">
        <v>120</v>
      </c>
      <c r="L33" t="s">
        <v>121</v>
      </c>
      <c r="M33" t="s">
        <v>114</v>
      </c>
      <c r="N33" t="s">
        <v>115</v>
      </c>
      <c r="O33" t="s">
        <v>115</v>
      </c>
      <c r="P33" t="s">
        <v>122</v>
      </c>
      <c r="Q33" t="s">
        <v>123</v>
      </c>
      <c r="V33">
        <v>0</v>
      </c>
      <c r="W33">
        <v>13</v>
      </c>
      <c r="X33">
        <v>13</v>
      </c>
      <c r="Y33">
        <v>1</v>
      </c>
      <c r="Z33">
        <v>168.944959707994</v>
      </c>
      <c r="AH33">
        <v>168.93789266699599</v>
      </c>
      <c r="AI33">
        <v>168.944959707994</v>
      </c>
      <c r="AJ33">
        <v>168.944959707994</v>
      </c>
      <c r="AK33">
        <v>168.944959707994</v>
      </c>
      <c r="AL33">
        <v>-3.7275000067893399E-4</v>
      </c>
      <c r="AM33">
        <v>169.02068766699799</v>
      </c>
      <c r="AO33" t="s">
        <v>120</v>
      </c>
      <c r="AP33" t="s">
        <v>121</v>
      </c>
      <c r="AQ33" t="s">
        <v>114</v>
      </c>
      <c r="AR33" t="s">
        <v>115</v>
      </c>
      <c r="AS33" t="s">
        <v>115</v>
      </c>
      <c r="AT33" t="s">
        <v>122</v>
      </c>
      <c r="AU33" t="s">
        <v>123</v>
      </c>
      <c r="AZ33" t="s">
        <v>60</v>
      </c>
      <c r="BA33">
        <v>1</v>
      </c>
      <c r="BB33" t="s">
        <v>61</v>
      </c>
      <c r="BC33" t="s">
        <v>62</v>
      </c>
      <c r="BE33" t="s">
        <v>63</v>
      </c>
      <c r="BF33">
        <v>120.27784230008299</v>
      </c>
      <c r="BG33" t="s">
        <v>64</v>
      </c>
    </row>
    <row r="34" spans="2:59" x14ac:dyDescent="0.2">
      <c r="B34">
        <v>14</v>
      </c>
      <c r="C34">
        <v>14</v>
      </c>
      <c r="D34">
        <v>0</v>
      </c>
      <c r="G34" t="s">
        <v>124</v>
      </c>
      <c r="H34" t="s">
        <v>125</v>
      </c>
      <c r="I34" s="1" t="s">
        <v>84</v>
      </c>
      <c r="J34" s="2" t="s">
        <v>126</v>
      </c>
      <c r="K34" t="s">
        <v>86</v>
      </c>
      <c r="L34" t="s">
        <v>86</v>
      </c>
      <c r="M34" t="s">
        <v>86</v>
      </c>
      <c r="N34" t="s">
        <v>86</v>
      </c>
      <c r="O34" t="s">
        <v>86</v>
      </c>
      <c r="P34" t="s">
        <v>86</v>
      </c>
      <c r="Q34" t="s">
        <v>86</v>
      </c>
      <c r="V34">
        <v>0</v>
      </c>
      <c r="W34">
        <v>14</v>
      </c>
      <c r="X34">
        <v>14</v>
      </c>
      <c r="Y34">
        <v>13</v>
      </c>
      <c r="Z34">
        <v>169.029007957993</v>
      </c>
      <c r="AH34">
        <v>169.02254499999901</v>
      </c>
      <c r="AI34">
        <v>169.029007957993</v>
      </c>
      <c r="AJ34">
        <v>169.029007957993</v>
      </c>
      <c r="AK34">
        <v>169.029007957993</v>
      </c>
      <c r="AL34">
        <v>1.7645830012043E-3</v>
      </c>
      <c r="AM34">
        <v>179.012068749994</v>
      </c>
      <c r="AN34" t="s">
        <v>126</v>
      </c>
      <c r="AO34" t="s">
        <v>86</v>
      </c>
      <c r="AP34" t="s">
        <v>86</v>
      </c>
      <c r="AQ34" t="s">
        <v>86</v>
      </c>
      <c r="AR34" t="s">
        <v>86</v>
      </c>
      <c r="AS34" t="s">
        <v>86</v>
      </c>
      <c r="AT34" t="s">
        <v>86</v>
      </c>
      <c r="AU34" t="s">
        <v>86</v>
      </c>
      <c r="AV34">
        <v>179.021174832996</v>
      </c>
      <c r="AW34">
        <v>179.021174832996</v>
      </c>
      <c r="AX34">
        <v>179.021174832996</v>
      </c>
      <c r="AY34">
        <v>9.9911044999971601</v>
      </c>
      <c r="AZ34" t="s">
        <v>60</v>
      </c>
      <c r="BA34">
        <v>1</v>
      </c>
      <c r="BB34" t="s">
        <v>61</v>
      </c>
      <c r="BC34" t="s">
        <v>62</v>
      </c>
      <c r="BE34" t="s">
        <v>63</v>
      </c>
      <c r="BF34">
        <v>120.27784230008299</v>
      </c>
      <c r="BG34" t="s">
        <v>64</v>
      </c>
    </row>
    <row r="35" spans="2:59" x14ac:dyDescent="0.2">
      <c r="B35">
        <v>15</v>
      </c>
      <c r="C35">
        <v>15</v>
      </c>
      <c r="D35">
        <v>0</v>
      </c>
      <c r="G35" t="s">
        <v>127</v>
      </c>
      <c r="H35" t="s">
        <v>78</v>
      </c>
      <c r="I35" s="1" t="s">
        <v>84</v>
      </c>
      <c r="J35" s="6" t="s">
        <v>128</v>
      </c>
      <c r="K35" t="s">
        <v>120</v>
      </c>
      <c r="L35" t="s">
        <v>121</v>
      </c>
      <c r="M35" t="s">
        <v>114</v>
      </c>
      <c r="N35" t="s">
        <v>115</v>
      </c>
      <c r="O35" t="s">
        <v>115</v>
      </c>
      <c r="P35" t="s">
        <v>129</v>
      </c>
      <c r="Q35" t="s">
        <v>123</v>
      </c>
      <c r="V35">
        <v>0</v>
      </c>
      <c r="W35">
        <v>15</v>
      </c>
      <c r="X35">
        <v>15</v>
      </c>
      <c r="Y35">
        <v>2</v>
      </c>
      <c r="Z35">
        <v>179.021174832996</v>
      </c>
      <c r="AH35">
        <v>179.014131249998</v>
      </c>
      <c r="AI35">
        <v>179.021174832996</v>
      </c>
      <c r="AJ35">
        <v>179.021174832996</v>
      </c>
      <c r="AK35">
        <v>179.021174832996</v>
      </c>
      <c r="AL35">
        <v>4.6504099736921403E-4</v>
      </c>
      <c r="AM35">
        <v>188.32004866699501</v>
      </c>
      <c r="AN35" t="s">
        <v>128</v>
      </c>
      <c r="AO35" t="s">
        <v>120</v>
      </c>
      <c r="AP35" t="s">
        <v>121</v>
      </c>
      <c r="AQ35" t="s">
        <v>114</v>
      </c>
      <c r="AR35" t="s">
        <v>115</v>
      </c>
      <c r="AS35" t="s">
        <v>115</v>
      </c>
      <c r="AT35" t="s">
        <v>129</v>
      </c>
      <c r="AU35" t="s">
        <v>123</v>
      </c>
      <c r="AZ35" t="s">
        <v>60</v>
      </c>
      <c r="BA35">
        <v>1</v>
      </c>
      <c r="BB35" t="s">
        <v>61</v>
      </c>
      <c r="BC35" t="s">
        <v>62</v>
      </c>
      <c r="BE35" t="s">
        <v>63</v>
      </c>
      <c r="BF35">
        <v>120.27784230008299</v>
      </c>
      <c r="BG35" t="s">
        <v>64</v>
      </c>
    </row>
    <row r="36" spans="2:59" x14ac:dyDescent="0.2">
      <c r="B36">
        <v>16</v>
      </c>
      <c r="C36">
        <v>16</v>
      </c>
      <c r="D36">
        <v>0</v>
      </c>
      <c r="G36" t="s">
        <v>130</v>
      </c>
      <c r="H36" t="s">
        <v>131</v>
      </c>
      <c r="I36" s="1" t="s">
        <v>84</v>
      </c>
      <c r="J36" t="s">
        <v>131</v>
      </c>
      <c r="K36" t="s">
        <v>120</v>
      </c>
      <c r="L36" t="s">
        <v>121</v>
      </c>
      <c r="M36" t="s">
        <v>114</v>
      </c>
      <c r="N36" t="s">
        <v>115</v>
      </c>
      <c r="O36" t="s">
        <v>115</v>
      </c>
      <c r="P36" t="s">
        <v>132</v>
      </c>
      <c r="Q36" t="s">
        <v>123</v>
      </c>
      <c r="V36">
        <v>0</v>
      </c>
      <c r="W36">
        <v>16</v>
      </c>
      <c r="X36">
        <v>16</v>
      </c>
      <c r="Y36">
        <v>9</v>
      </c>
      <c r="Z36">
        <v>188.34594804199801</v>
      </c>
      <c r="AH36">
        <v>188.322443291996</v>
      </c>
      <c r="AI36">
        <v>188.34594804199801</v>
      </c>
      <c r="AJ36">
        <v>188.34594804199801</v>
      </c>
      <c r="AK36">
        <v>188.34594804199801</v>
      </c>
      <c r="AL36">
        <v>2.2927079990040498E-3</v>
      </c>
      <c r="AM36">
        <v>195.337627166998</v>
      </c>
      <c r="AN36" t="s">
        <v>131</v>
      </c>
      <c r="AO36" t="s">
        <v>120</v>
      </c>
      <c r="AP36" t="s">
        <v>121</v>
      </c>
      <c r="AQ36" t="s">
        <v>114</v>
      </c>
      <c r="AR36" t="s">
        <v>115</v>
      </c>
      <c r="AS36" t="s">
        <v>115</v>
      </c>
      <c r="AT36" t="s">
        <v>132</v>
      </c>
      <c r="AU36" t="s">
        <v>123</v>
      </c>
      <c r="AZ36" t="s">
        <v>60</v>
      </c>
      <c r="BA36">
        <v>1</v>
      </c>
      <c r="BB36" t="s">
        <v>61</v>
      </c>
      <c r="BC36" t="s">
        <v>62</v>
      </c>
      <c r="BE36" t="s">
        <v>63</v>
      </c>
      <c r="BF36">
        <v>120.27784230008299</v>
      </c>
      <c r="BG36" t="s">
        <v>64</v>
      </c>
    </row>
    <row r="37" spans="2:59" x14ac:dyDescent="0.2">
      <c r="B37">
        <v>17</v>
      </c>
      <c r="C37">
        <v>17</v>
      </c>
      <c r="D37">
        <v>0</v>
      </c>
      <c r="G37" t="s">
        <v>133</v>
      </c>
      <c r="H37" t="s">
        <v>134</v>
      </c>
      <c r="I37" s="1" t="s">
        <v>91</v>
      </c>
      <c r="J37" s="4"/>
      <c r="K37" t="s">
        <v>120</v>
      </c>
      <c r="L37" t="s">
        <v>121</v>
      </c>
      <c r="M37" t="s">
        <v>114</v>
      </c>
      <c r="N37" t="s">
        <v>115</v>
      </c>
      <c r="O37" t="s">
        <v>115</v>
      </c>
      <c r="P37" t="s">
        <v>135</v>
      </c>
      <c r="Q37" t="s">
        <v>123</v>
      </c>
      <c r="V37">
        <v>0</v>
      </c>
      <c r="W37">
        <v>17</v>
      </c>
      <c r="X37">
        <v>17</v>
      </c>
      <c r="Y37">
        <v>15</v>
      </c>
      <c r="Z37">
        <v>195.35220579199799</v>
      </c>
      <c r="AH37">
        <v>195.339825291994</v>
      </c>
      <c r="AI37">
        <v>195.35220579199799</v>
      </c>
      <c r="AJ37">
        <v>195.35220579199799</v>
      </c>
      <c r="AK37">
        <v>195.35220579199799</v>
      </c>
      <c r="AL37">
        <v>2.09137499768985E-3</v>
      </c>
      <c r="AM37">
        <v>200.537967582997</v>
      </c>
      <c r="AO37" t="s">
        <v>120</v>
      </c>
      <c r="AP37" t="s">
        <v>121</v>
      </c>
      <c r="AQ37" t="s">
        <v>114</v>
      </c>
      <c r="AR37" t="s">
        <v>115</v>
      </c>
      <c r="AS37" t="s">
        <v>115</v>
      </c>
      <c r="AT37" t="s">
        <v>135</v>
      </c>
      <c r="AU37" t="s">
        <v>123</v>
      </c>
      <c r="AZ37" t="s">
        <v>60</v>
      </c>
      <c r="BA37">
        <v>1</v>
      </c>
      <c r="BB37" t="s">
        <v>61</v>
      </c>
      <c r="BC37" t="s">
        <v>62</v>
      </c>
      <c r="BE37" t="s">
        <v>63</v>
      </c>
      <c r="BF37">
        <v>120.27784230008299</v>
      </c>
      <c r="BG37" t="s">
        <v>64</v>
      </c>
    </row>
    <row r="38" spans="2:59" x14ac:dyDescent="0.2">
      <c r="B38">
        <v>18</v>
      </c>
      <c r="C38">
        <v>18</v>
      </c>
      <c r="D38">
        <v>0</v>
      </c>
      <c r="G38" t="s">
        <v>136</v>
      </c>
      <c r="H38" t="s">
        <v>137</v>
      </c>
      <c r="I38" t="s">
        <v>89</v>
      </c>
      <c r="J38" s="4"/>
      <c r="K38" t="s">
        <v>120</v>
      </c>
      <c r="L38" t="s">
        <v>121</v>
      </c>
      <c r="M38" t="s">
        <v>114</v>
      </c>
      <c r="N38" t="s">
        <v>115</v>
      </c>
      <c r="O38" t="s">
        <v>115</v>
      </c>
      <c r="P38" t="s">
        <v>138</v>
      </c>
      <c r="Q38" t="s">
        <v>123</v>
      </c>
      <c r="V38">
        <v>0</v>
      </c>
      <c r="W38">
        <v>18</v>
      </c>
      <c r="X38">
        <v>18</v>
      </c>
      <c r="Y38">
        <v>23</v>
      </c>
      <c r="Z38">
        <v>200.561730707995</v>
      </c>
      <c r="AH38">
        <v>200.53995095799399</v>
      </c>
      <c r="AI38">
        <v>200.561730707995</v>
      </c>
      <c r="AJ38">
        <v>200.561730707995</v>
      </c>
      <c r="AK38">
        <v>200.561730707995</v>
      </c>
      <c r="AL38">
        <v>1.8924579999293201E-3</v>
      </c>
      <c r="AM38">
        <v>201.553048916997</v>
      </c>
      <c r="AO38" t="s">
        <v>120</v>
      </c>
      <c r="AP38" t="s">
        <v>121</v>
      </c>
      <c r="AQ38" t="s">
        <v>114</v>
      </c>
      <c r="AR38" t="s">
        <v>115</v>
      </c>
      <c r="AS38" t="s">
        <v>115</v>
      </c>
      <c r="AT38" t="s">
        <v>138</v>
      </c>
      <c r="AU38" t="s">
        <v>123</v>
      </c>
      <c r="AZ38" t="s">
        <v>60</v>
      </c>
      <c r="BA38">
        <v>1</v>
      </c>
      <c r="BB38" t="s">
        <v>61</v>
      </c>
      <c r="BC38" t="s">
        <v>62</v>
      </c>
      <c r="BE38" t="s">
        <v>63</v>
      </c>
      <c r="BF38">
        <v>120.27784230008299</v>
      </c>
      <c r="BG38" t="s">
        <v>64</v>
      </c>
    </row>
    <row r="39" spans="2:59" x14ac:dyDescent="0.2">
      <c r="B39">
        <v>19</v>
      </c>
      <c r="C39">
        <v>19</v>
      </c>
      <c r="D39">
        <v>0</v>
      </c>
      <c r="G39" t="s">
        <v>139</v>
      </c>
      <c r="H39" t="s">
        <v>80</v>
      </c>
      <c r="I39" s="1" t="s">
        <v>84</v>
      </c>
      <c r="J39" t="s">
        <v>80</v>
      </c>
      <c r="K39" t="s">
        <v>86</v>
      </c>
      <c r="L39" t="s">
        <v>86</v>
      </c>
      <c r="M39" t="s">
        <v>86</v>
      </c>
      <c r="N39" t="s">
        <v>86</v>
      </c>
      <c r="O39" t="s">
        <v>86</v>
      </c>
      <c r="P39" t="s">
        <v>86</v>
      </c>
      <c r="Q39" t="s">
        <v>86</v>
      </c>
      <c r="V39">
        <v>0</v>
      </c>
      <c r="W39">
        <v>19</v>
      </c>
      <c r="X39">
        <v>19</v>
      </c>
      <c r="Y39">
        <v>4</v>
      </c>
      <c r="Z39">
        <v>210.04585708299399</v>
      </c>
      <c r="AH39">
        <v>210.022365041993</v>
      </c>
      <c r="AI39">
        <v>210.04585708299399</v>
      </c>
      <c r="AJ39">
        <v>210.04585708299399</v>
      </c>
      <c r="AK39">
        <v>210.04585708299399</v>
      </c>
      <c r="AL39">
        <v>2.1164999998291001E-3</v>
      </c>
      <c r="AM39">
        <v>220.028334374997</v>
      </c>
      <c r="AN39" t="s">
        <v>140</v>
      </c>
      <c r="AO39" t="s">
        <v>86</v>
      </c>
      <c r="AP39" t="s">
        <v>86</v>
      </c>
      <c r="AQ39" t="s">
        <v>86</v>
      </c>
      <c r="AR39" t="s">
        <v>86</v>
      </c>
      <c r="AS39" t="s">
        <v>86</v>
      </c>
      <c r="AT39" t="s">
        <v>86</v>
      </c>
      <c r="AU39" t="s">
        <v>86</v>
      </c>
      <c r="AZ39" t="s">
        <v>60</v>
      </c>
      <c r="BA39">
        <v>1</v>
      </c>
      <c r="BB39" t="s">
        <v>61</v>
      </c>
      <c r="BC39" t="s">
        <v>62</v>
      </c>
      <c r="BE39" t="s">
        <v>63</v>
      </c>
      <c r="BF39">
        <v>120.27784230008299</v>
      </c>
      <c r="BG39" t="s">
        <v>64</v>
      </c>
    </row>
    <row r="40" spans="2:59" x14ac:dyDescent="0.2">
      <c r="B40">
        <v>20</v>
      </c>
      <c r="C40">
        <v>20</v>
      </c>
      <c r="D40">
        <v>0</v>
      </c>
      <c r="G40" t="s">
        <v>141</v>
      </c>
      <c r="H40" t="s">
        <v>142</v>
      </c>
      <c r="I40" t="s">
        <v>89</v>
      </c>
      <c r="J40" s="4"/>
      <c r="K40" t="s">
        <v>143</v>
      </c>
      <c r="L40" t="s">
        <v>144</v>
      </c>
      <c r="M40" t="s">
        <v>114</v>
      </c>
      <c r="N40" t="s">
        <v>115</v>
      </c>
      <c r="O40" t="s">
        <v>115</v>
      </c>
      <c r="P40" t="s">
        <v>145</v>
      </c>
      <c r="Q40" t="s">
        <v>123</v>
      </c>
      <c r="V40">
        <v>0</v>
      </c>
      <c r="W40">
        <v>20</v>
      </c>
      <c r="X40">
        <v>20</v>
      </c>
      <c r="Y40">
        <v>19</v>
      </c>
      <c r="Z40">
        <v>220.03849862499899</v>
      </c>
      <c r="AH40">
        <v>220.03068216699401</v>
      </c>
      <c r="AI40">
        <v>220.03849862499899</v>
      </c>
      <c r="AJ40">
        <v>220.03849862499899</v>
      </c>
      <c r="AK40">
        <v>220.03849862499899</v>
      </c>
      <c r="AL40">
        <v>1.04388340041623E-2</v>
      </c>
      <c r="AM40">
        <v>226.75438479199499</v>
      </c>
      <c r="AO40" t="s">
        <v>143</v>
      </c>
      <c r="AP40" t="s">
        <v>144</v>
      </c>
      <c r="AQ40" t="s">
        <v>114</v>
      </c>
      <c r="AR40" t="s">
        <v>115</v>
      </c>
      <c r="AS40" t="s">
        <v>115</v>
      </c>
      <c r="AT40" t="s">
        <v>145</v>
      </c>
      <c r="AU40" t="s">
        <v>123</v>
      </c>
      <c r="AZ40" t="s">
        <v>60</v>
      </c>
      <c r="BA40">
        <v>1</v>
      </c>
      <c r="BB40" t="s">
        <v>61</v>
      </c>
      <c r="BC40" t="s">
        <v>62</v>
      </c>
      <c r="BE40" t="s">
        <v>63</v>
      </c>
      <c r="BF40">
        <v>120.27784230008299</v>
      </c>
      <c r="BG40" t="s">
        <v>64</v>
      </c>
    </row>
    <row r="41" spans="2:59" x14ac:dyDescent="0.2">
      <c r="B41">
        <v>21</v>
      </c>
      <c r="C41">
        <v>21</v>
      </c>
      <c r="D41">
        <v>0</v>
      </c>
      <c r="G41" t="s">
        <v>146</v>
      </c>
      <c r="H41" t="s">
        <v>147</v>
      </c>
      <c r="I41" s="1" t="s">
        <v>84</v>
      </c>
      <c r="J41" s="4"/>
      <c r="K41" t="s">
        <v>143</v>
      </c>
      <c r="L41" t="s">
        <v>144</v>
      </c>
      <c r="M41" t="s">
        <v>114</v>
      </c>
      <c r="N41" t="s">
        <v>115</v>
      </c>
      <c r="O41" t="s">
        <v>115</v>
      </c>
      <c r="P41" t="s">
        <v>148</v>
      </c>
      <c r="Q41" t="s">
        <v>123</v>
      </c>
      <c r="V41">
        <v>0</v>
      </c>
      <c r="W41">
        <v>21</v>
      </c>
      <c r="X41">
        <v>21</v>
      </c>
      <c r="Y41">
        <v>12</v>
      </c>
      <c r="Z41">
        <v>226.762295791995</v>
      </c>
      <c r="AH41">
        <v>226.756071832998</v>
      </c>
      <c r="AI41">
        <v>226.762295791995</v>
      </c>
      <c r="AJ41">
        <v>226.762295791995</v>
      </c>
      <c r="AK41">
        <v>226.762295791995</v>
      </c>
      <c r="AL41">
        <v>1.5994589994079401E-3</v>
      </c>
      <c r="AM41">
        <v>229.670568999994</v>
      </c>
      <c r="AO41" t="s">
        <v>143</v>
      </c>
      <c r="AP41" t="s">
        <v>144</v>
      </c>
      <c r="AQ41" t="s">
        <v>114</v>
      </c>
      <c r="AR41" t="s">
        <v>115</v>
      </c>
      <c r="AS41" t="s">
        <v>115</v>
      </c>
      <c r="AT41" t="s">
        <v>148</v>
      </c>
      <c r="AU41" t="s">
        <v>123</v>
      </c>
      <c r="AZ41" t="s">
        <v>60</v>
      </c>
      <c r="BA41">
        <v>1</v>
      </c>
      <c r="BB41" t="s">
        <v>61</v>
      </c>
      <c r="BC41" t="s">
        <v>62</v>
      </c>
      <c r="BE41" t="s">
        <v>63</v>
      </c>
      <c r="BF41">
        <v>120.27784230008299</v>
      </c>
      <c r="BG41" t="s">
        <v>64</v>
      </c>
    </row>
    <row r="42" spans="2:59" x14ac:dyDescent="0.2">
      <c r="B42">
        <v>22</v>
      </c>
      <c r="C42">
        <v>22</v>
      </c>
      <c r="D42">
        <v>0</v>
      </c>
      <c r="G42" t="s">
        <v>149</v>
      </c>
      <c r="H42" t="s">
        <v>77</v>
      </c>
      <c r="I42" s="1" t="s">
        <v>91</v>
      </c>
      <c r="J42" s="2" t="s">
        <v>150</v>
      </c>
      <c r="K42" t="s">
        <v>86</v>
      </c>
      <c r="L42" t="s">
        <v>86</v>
      </c>
      <c r="M42" t="s">
        <v>86</v>
      </c>
      <c r="N42" t="s">
        <v>86</v>
      </c>
      <c r="O42" t="s">
        <v>86</v>
      </c>
      <c r="P42" t="s">
        <v>86</v>
      </c>
      <c r="Q42" t="s">
        <v>86</v>
      </c>
      <c r="V42">
        <v>0</v>
      </c>
      <c r="W42">
        <v>22</v>
      </c>
      <c r="X42">
        <v>22</v>
      </c>
      <c r="Y42">
        <v>17</v>
      </c>
      <c r="Z42">
        <v>229.678199207999</v>
      </c>
      <c r="AH42">
        <v>229.67236424999999</v>
      </c>
      <c r="AI42">
        <v>229.678199207999</v>
      </c>
      <c r="AJ42">
        <v>229.678199207999</v>
      </c>
      <c r="AK42">
        <v>229.678199207999</v>
      </c>
      <c r="AL42">
        <v>1.7101249977713401E-3</v>
      </c>
      <c r="AM42">
        <v>239.66172862499599</v>
      </c>
      <c r="AN42" t="s">
        <v>150</v>
      </c>
      <c r="AO42" t="s">
        <v>86</v>
      </c>
      <c r="AP42" t="s">
        <v>86</v>
      </c>
      <c r="AQ42" t="s">
        <v>86</v>
      </c>
      <c r="AR42" t="s">
        <v>86</v>
      </c>
      <c r="AS42" t="s">
        <v>86</v>
      </c>
      <c r="AT42" t="s">
        <v>86</v>
      </c>
      <c r="AU42" t="s">
        <v>86</v>
      </c>
      <c r="AV42">
        <v>239.66984066699601</v>
      </c>
      <c r="AW42">
        <v>239.66984066699601</v>
      </c>
      <c r="AX42">
        <v>239.66984066699601</v>
      </c>
      <c r="AY42">
        <v>9.9909001249979994</v>
      </c>
      <c r="AZ42" t="s">
        <v>60</v>
      </c>
      <c r="BA42">
        <v>1</v>
      </c>
      <c r="BB42" t="s">
        <v>61</v>
      </c>
      <c r="BC42" t="s">
        <v>62</v>
      </c>
      <c r="BE42" t="s">
        <v>63</v>
      </c>
      <c r="BF42">
        <v>120.27784230008299</v>
      </c>
      <c r="BG42" t="s">
        <v>64</v>
      </c>
    </row>
    <row r="45" spans="2:59" x14ac:dyDescent="0.2">
      <c r="E45" s="7" t="s">
        <v>151</v>
      </c>
      <c r="F45" s="7"/>
      <c r="G45" s="7"/>
      <c r="H45" s="1">
        <v>2</v>
      </c>
      <c r="I45" s="1">
        <f>H45/F48</f>
        <v>0.10526315789473684</v>
      </c>
    </row>
    <row r="46" spans="2:59" x14ac:dyDescent="0.2">
      <c r="E46" s="7" t="s">
        <v>152</v>
      </c>
      <c r="F46" s="7"/>
      <c r="G46" s="7"/>
      <c r="H46" s="1">
        <v>0</v>
      </c>
      <c r="I46" s="1">
        <f>H46/F49</f>
        <v>0</v>
      </c>
    </row>
    <row r="47" spans="2:59" x14ac:dyDescent="0.2">
      <c r="E47" s="5"/>
      <c r="F47" s="5"/>
      <c r="G47" s="9" t="s">
        <v>153</v>
      </c>
      <c r="H47" s="9"/>
      <c r="I47" s="9">
        <f>I45-I46</f>
        <v>0.10526315789473684</v>
      </c>
    </row>
    <row r="48" spans="2:59" x14ac:dyDescent="0.2">
      <c r="E48" s="8" t="s">
        <v>154</v>
      </c>
      <c r="F48" s="8">
        <v>19</v>
      </c>
      <c r="G48" s="5"/>
    </row>
    <row r="49" spans="5:7" x14ac:dyDescent="0.2">
      <c r="E49" s="8" t="s">
        <v>155</v>
      </c>
      <c r="F49" s="8">
        <v>4</v>
      </c>
      <c r="G49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V_1_Word Priming Task_2025-10-1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2025-10-15T09:00:07Z</dcterms:created>
  <dcterms:modified xsi:type="dcterms:W3CDTF">2025-10-16T08:45:50Z</dcterms:modified>
</cp:coreProperties>
</file>