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Lab Reports/Delay Discounting Task /participants analysis/"/>
    </mc:Choice>
  </mc:AlternateContent>
  <xr:revisionPtr revIDLastSave="0" documentId="13_ncr:1_{CBDE1D02-BE8D-EB4E-AE50-020C72F0F263}" xr6:coauthVersionLast="47" xr6:coauthVersionMax="47" xr10:uidLastSave="{00000000-0000-0000-0000-000000000000}"/>
  <bookViews>
    <workbookView xWindow="0" yWindow="680" windowWidth="29400" windowHeight="17240" xr2:uid="{00000000-000D-0000-FFFF-FFFF00000000}"/>
  </bookViews>
  <sheets>
    <sheet name="m_2_Delay Discounting Task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3" i="1"/>
  <c r="F62" i="1"/>
  <c r="F3" i="1"/>
  <c r="F93" i="1"/>
  <c r="D2" i="1"/>
  <c r="D3" i="1"/>
  <c r="D46" i="1"/>
  <c r="F85" i="1"/>
  <c r="D47" i="1"/>
  <c r="D10" i="1"/>
  <c r="D28" i="1"/>
  <c r="D33" i="1"/>
  <c r="F33" i="1" s="1"/>
  <c r="D53" i="1"/>
  <c r="D78" i="1"/>
  <c r="D27" i="1"/>
  <c r="D63" i="1"/>
  <c r="D38" i="1"/>
  <c r="D49" i="1"/>
  <c r="D75" i="1"/>
  <c r="D26" i="1"/>
  <c r="D29" i="1"/>
  <c r="D17" i="1"/>
  <c r="D36" i="1"/>
  <c r="D55" i="1"/>
  <c r="D93" i="1"/>
  <c r="D21" i="1"/>
  <c r="D7" i="1"/>
  <c r="D74" i="1"/>
  <c r="D24" i="1"/>
  <c r="D98" i="1"/>
  <c r="F98" i="1" s="1"/>
  <c r="D69" i="1"/>
  <c r="D54" i="1"/>
  <c r="D100" i="1"/>
  <c r="D64" i="1"/>
  <c r="D18" i="1"/>
  <c r="D97" i="1"/>
  <c r="D34" i="1"/>
  <c r="D91" i="1"/>
  <c r="D103" i="1"/>
  <c r="D51" i="1"/>
  <c r="D79" i="1"/>
  <c r="D32" i="1"/>
  <c r="D76" i="1"/>
  <c r="D42" i="1"/>
  <c r="D82" i="1"/>
  <c r="D9" i="1"/>
  <c r="D52" i="1"/>
  <c r="D72" i="1"/>
  <c r="D95" i="1"/>
  <c r="F95" i="1" s="1"/>
  <c r="D48" i="1"/>
  <c r="D106" i="1"/>
  <c r="D83" i="1"/>
  <c r="F83" i="1" s="1"/>
  <c r="D80" i="1"/>
  <c r="D5" i="1"/>
  <c r="D4" i="1"/>
  <c r="D57" i="1"/>
  <c r="D6" i="1"/>
  <c r="D73" i="1"/>
  <c r="D60" i="1"/>
  <c r="D77" i="1"/>
  <c r="D22" i="1"/>
  <c r="D92" i="1"/>
  <c r="D44" i="1"/>
  <c r="D104" i="1"/>
  <c r="D41" i="1"/>
  <c r="D87" i="1"/>
  <c r="D105" i="1"/>
  <c r="D67" i="1"/>
  <c r="D31" i="1"/>
  <c r="D50" i="1"/>
  <c r="D86" i="1"/>
  <c r="D68" i="1"/>
  <c r="D35" i="1"/>
  <c r="D99" i="1"/>
  <c r="D8" i="1"/>
  <c r="D13" i="1"/>
  <c r="D96" i="1"/>
  <c r="D65" i="1"/>
  <c r="D102" i="1"/>
  <c r="D70" i="1"/>
  <c r="D16" i="1"/>
  <c r="D14" i="1"/>
  <c r="D37" i="1"/>
  <c r="D15" i="1"/>
  <c r="D85" i="1"/>
  <c r="D61" i="1"/>
  <c r="D40" i="1"/>
  <c r="D88" i="1"/>
  <c r="D71" i="1"/>
  <c r="D62" i="1"/>
  <c r="D25" i="1"/>
  <c r="D94" i="1"/>
  <c r="D30" i="1"/>
  <c r="D56" i="1"/>
  <c r="D43" i="1"/>
  <c r="D12" i="1"/>
  <c r="D20" i="1"/>
  <c r="D39" i="1"/>
  <c r="D101" i="1"/>
  <c r="D19" i="1"/>
  <c r="D59" i="1"/>
  <c r="D11" i="1"/>
  <c r="D66" i="1"/>
  <c r="D45" i="1"/>
  <c r="D90" i="1"/>
  <c r="D89" i="1"/>
  <c r="D23" i="1"/>
  <c r="D81" i="1"/>
  <c r="D84" i="1"/>
  <c r="D58" i="1"/>
  <c r="H8" i="1" l="1"/>
</calcChain>
</file>

<file path=xl/sharedStrings.xml><?xml version="1.0" encoding="utf-8"?>
<sst xmlns="http://schemas.openxmlformats.org/spreadsheetml/2006/main" count="114" uniqueCount="11">
  <si>
    <t>reward_today</t>
  </si>
  <si>
    <t>future_reward</t>
  </si>
  <si>
    <t>delay</t>
  </si>
  <si>
    <t>key_resp.keys</t>
  </si>
  <si>
    <t>l</t>
  </si>
  <si>
    <t>t</t>
  </si>
  <si>
    <t>Geomean</t>
  </si>
  <si>
    <t>K  (Point of Difference)</t>
  </si>
  <si>
    <t>Larger K = Impulsive (discount the future)</t>
  </si>
  <si>
    <t>Smaller K = self-control</t>
  </si>
  <si>
    <t>Average of all Geomeans is "K"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</si>
</sst>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134" workbookViewId="0">
      <selection activeCell="F6" sqref="F6"/>
    </sheetView>
  </sheetViews>
  <sheetFormatPr baseColWidth="10" defaultRowHeight="16" x14ac:dyDescent="0.2"/>
  <cols>
    <col min="1" max="3" width="10.83203125" style="1"/>
    <col min="4" max="4" width="21.83203125" customWidth="1"/>
    <col min="5" max="5" width="10.832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6</v>
      </c>
    </row>
    <row r="2" spans="1:8" x14ac:dyDescent="0.2">
      <c r="A2" s="1">
        <v>78</v>
      </c>
      <c r="B2" s="1">
        <v>80</v>
      </c>
      <c r="C2" s="1">
        <v>162</v>
      </c>
      <c r="D2">
        <f t="shared" ref="D2:D33" si="0">((B2/A2)-1/C2)</f>
        <v>1.0194681861348527</v>
      </c>
      <c r="E2" s="1" t="s">
        <v>4</v>
      </c>
    </row>
    <row r="3" spans="1:8" x14ac:dyDescent="0.2">
      <c r="A3" s="1">
        <v>78</v>
      </c>
      <c r="B3" s="1">
        <v>80</v>
      </c>
      <c r="C3" s="1">
        <v>162</v>
      </c>
      <c r="D3">
        <f>((B3/A3)-1/C3)</f>
        <v>1.0194681861348527</v>
      </c>
      <c r="E3" s="1" t="s">
        <v>4</v>
      </c>
      <c r="F3">
        <f>GEOMEAN(D3:D4)</f>
        <v>1.0194681861348527</v>
      </c>
      <c r="H3" t="s">
        <v>8</v>
      </c>
    </row>
    <row r="4" spans="1:8" x14ac:dyDescent="0.2">
      <c r="A4" s="1">
        <v>78</v>
      </c>
      <c r="B4" s="1">
        <v>80</v>
      </c>
      <c r="C4" s="1">
        <v>162</v>
      </c>
      <c r="D4">
        <f t="shared" si="0"/>
        <v>1.0194681861348527</v>
      </c>
      <c r="E4" s="1" t="s">
        <v>5</v>
      </c>
      <c r="H4" t="s">
        <v>9</v>
      </c>
    </row>
    <row r="5" spans="1:8" x14ac:dyDescent="0.2">
      <c r="A5" s="1">
        <v>78</v>
      </c>
      <c r="B5" s="1">
        <v>80</v>
      </c>
      <c r="C5" s="1">
        <v>162</v>
      </c>
      <c r="D5">
        <f t="shared" si="0"/>
        <v>1.0194681861348527</v>
      </c>
      <c r="E5" s="1" t="s">
        <v>5</v>
      </c>
    </row>
    <row r="6" spans="1:8" x14ac:dyDescent="0.2">
      <c r="A6" s="1">
        <v>78</v>
      </c>
      <c r="B6" s="1">
        <v>80</v>
      </c>
      <c r="C6" s="1">
        <v>162</v>
      </c>
      <c r="D6">
        <f t="shared" si="0"/>
        <v>1.0194681861348527</v>
      </c>
      <c r="E6" s="1" t="s">
        <v>5</v>
      </c>
    </row>
    <row r="7" spans="1:8" x14ac:dyDescent="0.2">
      <c r="A7" s="1">
        <v>78</v>
      </c>
      <c r="B7" s="1">
        <v>80</v>
      </c>
      <c r="C7" s="1">
        <v>162</v>
      </c>
      <c r="D7">
        <f t="shared" si="0"/>
        <v>1.0194681861348527</v>
      </c>
      <c r="E7" s="1" t="s">
        <v>5</v>
      </c>
      <c r="H7" t="s">
        <v>10</v>
      </c>
    </row>
    <row r="8" spans="1:8" x14ac:dyDescent="0.2">
      <c r="A8" s="1">
        <v>78</v>
      </c>
      <c r="B8" s="1">
        <v>80</v>
      </c>
      <c r="C8" s="1">
        <v>162</v>
      </c>
      <c r="D8">
        <f t="shared" si="0"/>
        <v>1.0194681861348527</v>
      </c>
      <c r="E8" s="1" t="s">
        <v>5</v>
      </c>
      <c r="H8" s="2">
        <f>AVERAGE(F2:F106)</f>
        <v>1.8525021344757289</v>
      </c>
    </row>
    <row r="9" spans="1:8" x14ac:dyDescent="0.2">
      <c r="A9" s="1">
        <v>78</v>
      </c>
      <c r="B9" s="1">
        <v>80</v>
      </c>
      <c r="C9" s="1">
        <v>162</v>
      </c>
      <c r="D9">
        <f t="shared" si="0"/>
        <v>1.0194681861348527</v>
      </c>
      <c r="E9" s="1" t="s">
        <v>5</v>
      </c>
    </row>
    <row r="10" spans="1:8" x14ac:dyDescent="0.2">
      <c r="A10" s="1">
        <v>78</v>
      </c>
      <c r="B10" s="1">
        <v>80</v>
      </c>
      <c r="C10" s="1">
        <v>162</v>
      </c>
      <c r="D10">
        <f t="shared" si="0"/>
        <v>1.0194681861348527</v>
      </c>
      <c r="E10" s="1" t="s">
        <v>5</v>
      </c>
    </row>
    <row r="11" spans="1:8" x14ac:dyDescent="0.2">
      <c r="A11" s="1">
        <v>78</v>
      </c>
      <c r="B11" s="1">
        <v>80</v>
      </c>
      <c r="C11" s="1">
        <v>162</v>
      </c>
      <c r="D11">
        <f t="shared" si="0"/>
        <v>1.0194681861348527</v>
      </c>
      <c r="E11" s="1" t="s">
        <v>5</v>
      </c>
    </row>
    <row r="12" spans="1:8" x14ac:dyDescent="0.2">
      <c r="A12" s="1">
        <v>78</v>
      </c>
      <c r="B12" s="1">
        <v>80</v>
      </c>
      <c r="C12" s="1">
        <v>162</v>
      </c>
      <c r="D12">
        <f t="shared" si="0"/>
        <v>1.0194681861348527</v>
      </c>
      <c r="E12" s="1" t="s">
        <v>5</v>
      </c>
    </row>
    <row r="13" spans="1:8" x14ac:dyDescent="0.2">
      <c r="A13" s="1">
        <v>78</v>
      </c>
      <c r="B13" s="1">
        <v>80</v>
      </c>
      <c r="C13" s="1">
        <v>162</v>
      </c>
      <c r="D13">
        <f t="shared" si="0"/>
        <v>1.0194681861348527</v>
      </c>
      <c r="E13" s="1" t="s">
        <v>5</v>
      </c>
    </row>
    <row r="14" spans="1:8" x14ac:dyDescent="0.2">
      <c r="A14" s="1">
        <v>78</v>
      </c>
      <c r="B14" s="1">
        <v>80</v>
      </c>
      <c r="C14" s="1">
        <v>162</v>
      </c>
      <c r="D14">
        <f t="shared" si="0"/>
        <v>1.0194681861348527</v>
      </c>
      <c r="E14" s="1" t="s">
        <v>5</v>
      </c>
    </row>
    <row r="15" spans="1:8" x14ac:dyDescent="0.2">
      <c r="A15" s="1">
        <v>78</v>
      </c>
      <c r="B15" s="1">
        <v>80</v>
      </c>
      <c r="C15" s="1">
        <v>162</v>
      </c>
      <c r="D15">
        <f t="shared" si="0"/>
        <v>1.0194681861348527</v>
      </c>
      <c r="E15" s="1" t="s">
        <v>5</v>
      </c>
    </row>
    <row r="16" spans="1:8" x14ac:dyDescent="0.2">
      <c r="A16" s="1">
        <v>78</v>
      </c>
      <c r="B16" s="1">
        <v>80</v>
      </c>
      <c r="C16" s="1">
        <v>162</v>
      </c>
      <c r="D16">
        <f t="shared" si="0"/>
        <v>1.0194681861348527</v>
      </c>
      <c r="E16" s="1" t="s">
        <v>5</v>
      </c>
    </row>
    <row r="17" spans="1:6" x14ac:dyDescent="0.2">
      <c r="A17" s="1">
        <v>67</v>
      </c>
      <c r="B17" s="1">
        <v>75</v>
      </c>
      <c r="C17" s="1">
        <v>119</v>
      </c>
      <c r="D17">
        <f t="shared" si="0"/>
        <v>1.110999623730089</v>
      </c>
      <c r="E17" s="1" t="s">
        <v>5</v>
      </c>
    </row>
    <row r="18" spans="1:6" x14ac:dyDescent="0.2">
      <c r="A18" s="1">
        <v>67</v>
      </c>
      <c r="B18" s="1">
        <v>75</v>
      </c>
      <c r="C18" s="1">
        <v>119</v>
      </c>
      <c r="D18">
        <f t="shared" si="0"/>
        <v>1.110999623730089</v>
      </c>
      <c r="E18" s="1" t="s">
        <v>5</v>
      </c>
    </row>
    <row r="19" spans="1:6" x14ac:dyDescent="0.2">
      <c r="A19" s="1">
        <v>67</v>
      </c>
      <c r="B19" s="1">
        <v>75</v>
      </c>
      <c r="C19" s="1">
        <v>119</v>
      </c>
      <c r="D19">
        <f t="shared" si="0"/>
        <v>1.110999623730089</v>
      </c>
      <c r="E19" s="1" t="s">
        <v>4</v>
      </c>
      <c r="F19">
        <f>GEOMEAN(D19:D20)</f>
        <v>1.110999623730089</v>
      </c>
    </row>
    <row r="20" spans="1:6" x14ac:dyDescent="0.2">
      <c r="A20" s="1">
        <v>67</v>
      </c>
      <c r="B20" s="1">
        <v>75</v>
      </c>
      <c r="C20" s="1">
        <v>119</v>
      </c>
      <c r="D20">
        <f t="shared" si="0"/>
        <v>1.110999623730089</v>
      </c>
      <c r="E20" s="1" t="s">
        <v>5</v>
      </c>
    </row>
    <row r="21" spans="1:6" x14ac:dyDescent="0.2">
      <c r="A21" s="1">
        <v>67</v>
      </c>
      <c r="B21" s="1">
        <v>75</v>
      </c>
      <c r="C21" s="1">
        <v>119</v>
      </c>
      <c r="D21">
        <f t="shared" si="0"/>
        <v>1.110999623730089</v>
      </c>
      <c r="E21" s="1" t="s">
        <v>5</v>
      </c>
    </row>
    <row r="22" spans="1:6" x14ac:dyDescent="0.2">
      <c r="A22" s="1">
        <v>67</v>
      </c>
      <c r="B22" s="1">
        <v>75</v>
      </c>
      <c r="C22" s="1">
        <v>119</v>
      </c>
      <c r="D22">
        <f t="shared" si="0"/>
        <v>1.110999623730089</v>
      </c>
      <c r="E22" s="1" t="s">
        <v>5</v>
      </c>
    </row>
    <row r="23" spans="1:6" x14ac:dyDescent="0.2">
      <c r="A23" s="1">
        <v>67</v>
      </c>
      <c r="B23" s="1">
        <v>75</v>
      </c>
      <c r="C23" s="1">
        <v>119</v>
      </c>
      <c r="D23">
        <f t="shared" si="0"/>
        <v>1.110999623730089</v>
      </c>
      <c r="E23" s="1" t="s">
        <v>4</v>
      </c>
      <c r="F23">
        <f>GEOMEAN(D23:D24)</f>
        <v>1.110999623730089</v>
      </c>
    </row>
    <row r="24" spans="1:6" x14ac:dyDescent="0.2">
      <c r="A24" s="1">
        <v>67</v>
      </c>
      <c r="B24" s="1">
        <v>75</v>
      </c>
      <c r="C24" s="1">
        <v>119</v>
      </c>
      <c r="D24">
        <f t="shared" si="0"/>
        <v>1.110999623730089</v>
      </c>
      <c r="E24" s="1" t="s">
        <v>5</v>
      </c>
    </row>
    <row r="25" spans="1:6" x14ac:dyDescent="0.2">
      <c r="A25" s="1">
        <v>67</v>
      </c>
      <c r="B25" s="1">
        <v>75</v>
      </c>
      <c r="C25" s="1">
        <v>119</v>
      </c>
      <c r="D25">
        <f t="shared" si="0"/>
        <v>1.110999623730089</v>
      </c>
      <c r="E25" s="1" t="s">
        <v>5</v>
      </c>
    </row>
    <row r="26" spans="1:6" x14ac:dyDescent="0.2">
      <c r="A26" s="1">
        <v>67</v>
      </c>
      <c r="B26" s="1">
        <v>75</v>
      </c>
      <c r="C26" s="1">
        <v>119</v>
      </c>
      <c r="D26">
        <f t="shared" si="0"/>
        <v>1.110999623730089</v>
      </c>
      <c r="E26" s="1" t="s">
        <v>5</v>
      </c>
    </row>
    <row r="27" spans="1:6" x14ac:dyDescent="0.2">
      <c r="A27" s="1">
        <v>67</v>
      </c>
      <c r="B27" s="1">
        <v>75</v>
      </c>
      <c r="C27" s="1">
        <v>119</v>
      </c>
      <c r="D27">
        <f t="shared" si="0"/>
        <v>1.110999623730089</v>
      </c>
      <c r="E27" s="1" t="s">
        <v>5</v>
      </c>
    </row>
    <row r="28" spans="1:6" x14ac:dyDescent="0.2">
      <c r="A28" s="1">
        <v>67</v>
      </c>
      <c r="B28" s="1">
        <v>75</v>
      </c>
      <c r="C28" s="1">
        <v>119</v>
      </c>
      <c r="D28">
        <f t="shared" si="0"/>
        <v>1.110999623730089</v>
      </c>
      <c r="E28" s="1" t="s">
        <v>5</v>
      </c>
    </row>
    <row r="29" spans="1:6" x14ac:dyDescent="0.2">
      <c r="A29" s="1">
        <v>67</v>
      </c>
      <c r="B29" s="1">
        <v>75</v>
      </c>
      <c r="C29" s="1">
        <v>119</v>
      </c>
      <c r="D29">
        <f t="shared" si="0"/>
        <v>1.110999623730089</v>
      </c>
      <c r="E29" s="1" t="s">
        <v>5</v>
      </c>
    </row>
    <row r="30" spans="1:6" x14ac:dyDescent="0.2">
      <c r="A30" s="1">
        <v>67</v>
      </c>
      <c r="B30" s="1">
        <v>75</v>
      </c>
      <c r="C30" s="1">
        <v>119</v>
      </c>
      <c r="D30">
        <f t="shared" si="0"/>
        <v>1.110999623730089</v>
      </c>
      <c r="E30" s="1" t="s">
        <v>5</v>
      </c>
    </row>
    <row r="31" spans="1:6" x14ac:dyDescent="0.2">
      <c r="A31" s="1">
        <v>67</v>
      </c>
      <c r="B31" s="1">
        <v>75</v>
      </c>
      <c r="C31" s="1">
        <v>119</v>
      </c>
      <c r="D31">
        <f t="shared" si="0"/>
        <v>1.110999623730089</v>
      </c>
      <c r="E31" s="1" t="s">
        <v>5</v>
      </c>
    </row>
    <row r="32" spans="1:6" x14ac:dyDescent="0.2">
      <c r="A32" s="1">
        <v>49</v>
      </c>
      <c r="B32" s="1">
        <v>60</v>
      </c>
      <c r="C32" s="1">
        <v>89</v>
      </c>
      <c r="D32">
        <f t="shared" si="0"/>
        <v>1.2132538408621876</v>
      </c>
      <c r="E32" s="1" t="s">
        <v>4</v>
      </c>
    </row>
    <row r="33" spans="1:6" x14ac:dyDescent="0.2">
      <c r="A33" s="1">
        <v>49</v>
      </c>
      <c r="B33" s="1">
        <v>60</v>
      </c>
      <c r="C33" s="1">
        <v>89</v>
      </c>
      <c r="D33">
        <f t="shared" si="0"/>
        <v>1.2132538408621876</v>
      </c>
      <c r="E33" s="1" t="s">
        <v>4</v>
      </c>
      <c r="F33">
        <f>GEOMEAN(D33:D34)</f>
        <v>1.2132538408621876</v>
      </c>
    </row>
    <row r="34" spans="1:6" x14ac:dyDescent="0.2">
      <c r="A34" s="1">
        <v>49</v>
      </c>
      <c r="B34" s="1">
        <v>60</v>
      </c>
      <c r="C34" s="1">
        <v>89</v>
      </c>
      <c r="D34">
        <f t="shared" ref="D34:D65" si="1">((B34/A34)-1/C34)</f>
        <v>1.2132538408621876</v>
      </c>
      <c r="E34" s="1" t="s">
        <v>5</v>
      </c>
    </row>
    <row r="35" spans="1:6" x14ac:dyDescent="0.2">
      <c r="A35" s="1">
        <v>49</v>
      </c>
      <c r="B35" s="1">
        <v>60</v>
      </c>
      <c r="C35" s="1">
        <v>89</v>
      </c>
      <c r="D35">
        <f t="shared" si="1"/>
        <v>1.2132538408621876</v>
      </c>
      <c r="E35" s="1" t="s">
        <v>5</v>
      </c>
    </row>
    <row r="36" spans="1:6" x14ac:dyDescent="0.2">
      <c r="A36" s="1">
        <v>49</v>
      </c>
      <c r="B36" s="1">
        <v>60</v>
      </c>
      <c r="C36" s="1">
        <v>89</v>
      </c>
      <c r="D36">
        <f t="shared" si="1"/>
        <v>1.2132538408621876</v>
      </c>
      <c r="E36" s="1" t="s">
        <v>5</v>
      </c>
    </row>
    <row r="37" spans="1:6" x14ac:dyDescent="0.2">
      <c r="A37" s="1">
        <v>49</v>
      </c>
      <c r="B37" s="1">
        <v>60</v>
      </c>
      <c r="C37" s="1">
        <v>89</v>
      </c>
      <c r="D37">
        <f t="shared" si="1"/>
        <v>1.2132538408621876</v>
      </c>
      <c r="E37" s="1" t="s">
        <v>5</v>
      </c>
    </row>
    <row r="38" spans="1:6" x14ac:dyDescent="0.2">
      <c r="A38" s="1">
        <v>49</v>
      </c>
      <c r="B38" s="1">
        <v>60</v>
      </c>
      <c r="C38" s="1">
        <v>89</v>
      </c>
      <c r="D38">
        <f t="shared" si="1"/>
        <v>1.2132538408621876</v>
      </c>
      <c r="E38" s="1" t="s">
        <v>5</v>
      </c>
    </row>
    <row r="39" spans="1:6" x14ac:dyDescent="0.2">
      <c r="A39" s="1">
        <v>49</v>
      </c>
      <c r="B39" s="1">
        <v>60</v>
      </c>
      <c r="C39" s="1">
        <v>89</v>
      </c>
      <c r="D39">
        <f t="shared" si="1"/>
        <v>1.2132538408621876</v>
      </c>
      <c r="E39" s="1" t="s">
        <v>5</v>
      </c>
    </row>
    <row r="40" spans="1:6" x14ac:dyDescent="0.2">
      <c r="A40" s="1">
        <v>49</v>
      </c>
      <c r="B40" s="1">
        <v>60</v>
      </c>
      <c r="C40" s="1">
        <v>89</v>
      </c>
      <c r="D40">
        <f t="shared" si="1"/>
        <v>1.2132538408621876</v>
      </c>
      <c r="E40" s="1" t="s">
        <v>5</v>
      </c>
    </row>
    <row r="41" spans="1:6" x14ac:dyDescent="0.2">
      <c r="A41" s="1">
        <v>49</v>
      </c>
      <c r="B41" s="1">
        <v>60</v>
      </c>
      <c r="C41" s="1">
        <v>89</v>
      </c>
      <c r="D41">
        <f t="shared" si="1"/>
        <v>1.2132538408621876</v>
      </c>
      <c r="E41" s="1" t="s">
        <v>5</v>
      </c>
    </row>
    <row r="42" spans="1:6" x14ac:dyDescent="0.2">
      <c r="A42" s="1">
        <v>49</v>
      </c>
      <c r="B42" s="1">
        <v>60</v>
      </c>
      <c r="C42" s="1">
        <v>89</v>
      </c>
      <c r="D42">
        <f t="shared" si="1"/>
        <v>1.2132538408621876</v>
      </c>
      <c r="E42" s="1" t="s">
        <v>5</v>
      </c>
    </row>
    <row r="43" spans="1:6" x14ac:dyDescent="0.2">
      <c r="A43" s="1">
        <v>49</v>
      </c>
      <c r="B43" s="1">
        <v>60</v>
      </c>
      <c r="C43" s="1">
        <v>89</v>
      </c>
      <c r="D43">
        <f t="shared" si="1"/>
        <v>1.2132538408621876</v>
      </c>
      <c r="E43" s="1" t="s">
        <v>5</v>
      </c>
    </row>
    <row r="44" spans="1:6" x14ac:dyDescent="0.2">
      <c r="A44" s="1">
        <v>49</v>
      </c>
      <c r="B44" s="1">
        <v>60</v>
      </c>
      <c r="C44" s="1">
        <v>89</v>
      </c>
      <c r="D44">
        <f t="shared" si="1"/>
        <v>1.2132538408621876</v>
      </c>
      <c r="E44" s="1" t="s">
        <v>5</v>
      </c>
    </row>
    <row r="45" spans="1:6" x14ac:dyDescent="0.2">
      <c r="A45" s="1">
        <v>49</v>
      </c>
      <c r="B45" s="1">
        <v>60</v>
      </c>
      <c r="C45" s="1">
        <v>89</v>
      </c>
      <c r="D45">
        <f t="shared" si="1"/>
        <v>1.2132538408621876</v>
      </c>
      <c r="E45" s="1" t="s">
        <v>5</v>
      </c>
    </row>
    <row r="46" spans="1:6" x14ac:dyDescent="0.2">
      <c r="A46" s="1">
        <v>49</v>
      </c>
      <c r="B46" s="1">
        <v>60</v>
      </c>
      <c r="C46" s="1">
        <v>89</v>
      </c>
      <c r="D46">
        <f t="shared" si="1"/>
        <v>1.2132538408621876</v>
      </c>
      <c r="E46" s="1" t="s">
        <v>5</v>
      </c>
    </row>
    <row r="47" spans="1:6" x14ac:dyDescent="0.2">
      <c r="A47" s="1">
        <v>40</v>
      </c>
      <c r="B47" s="1">
        <v>55</v>
      </c>
      <c r="C47" s="1">
        <v>62</v>
      </c>
      <c r="D47">
        <f t="shared" si="1"/>
        <v>1.3588709677419355</v>
      </c>
      <c r="E47" s="1" t="s">
        <v>5</v>
      </c>
    </row>
    <row r="48" spans="1:6" x14ac:dyDescent="0.2">
      <c r="A48" s="1">
        <v>40</v>
      </c>
      <c r="B48" s="1">
        <v>55</v>
      </c>
      <c r="C48" s="1">
        <v>62</v>
      </c>
      <c r="D48">
        <f t="shared" si="1"/>
        <v>1.3588709677419355</v>
      </c>
      <c r="E48" s="1" t="s">
        <v>5</v>
      </c>
    </row>
    <row r="49" spans="1:6" x14ac:dyDescent="0.2">
      <c r="A49" s="1">
        <v>40</v>
      </c>
      <c r="B49" s="1">
        <v>55</v>
      </c>
      <c r="C49" s="1">
        <v>62</v>
      </c>
      <c r="D49">
        <f t="shared" si="1"/>
        <v>1.3588709677419355</v>
      </c>
      <c r="E49" s="1" t="s">
        <v>5</v>
      </c>
    </row>
    <row r="50" spans="1:6" x14ac:dyDescent="0.2">
      <c r="A50" s="1">
        <v>40</v>
      </c>
      <c r="B50" s="1">
        <v>55</v>
      </c>
      <c r="C50" s="1">
        <v>62</v>
      </c>
      <c r="D50">
        <f t="shared" si="1"/>
        <v>1.3588709677419355</v>
      </c>
      <c r="E50" s="1" t="s">
        <v>5</v>
      </c>
    </row>
    <row r="51" spans="1:6" x14ac:dyDescent="0.2">
      <c r="A51" s="1">
        <v>40</v>
      </c>
      <c r="B51" s="1">
        <v>55</v>
      </c>
      <c r="C51" s="1">
        <v>62</v>
      </c>
      <c r="D51">
        <f t="shared" si="1"/>
        <v>1.3588709677419355</v>
      </c>
      <c r="E51" s="1" t="s">
        <v>5</v>
      </c>
    </row>
    <row r="52" spans="1:6" x14ac:dyDescent="0.2">
      <c r="A52" s="1">
        <v>40</v>
      </c>
      <c r="B52" s="1">
        <v>55</v>
      </c>
      <c r="C52" s="1">
        <v>62</v>
      </c>
      <c r="D52">
        <f t="shared" si="1"/>
        <v>1.3588709677419355</v>
      </c>
      <c r="E52" s="1" t="s">
        <v>5</v>
      </c>
    </row>
    <row r="53" spans="1:6" x14ac:dyDescent="0.2">
      <c r="A53" s="1">
        <v>40</v>
      </c>
      <c r="B53" s="1">
        <v>55</v>
      </c>
      <c r="C53" s="1">
        <v>62</v>
      </c>
      <c r="D53">
        <f t="shared" si="1"/>
        <v>1.3588709677419355</v>
      </c>
      <c r="E53" s="1" t="s">
        <v>5</v>
      </c>
    </row>
    <row r="54" spans="1:6" x14ac:dyDescent="0.2">
      <c r="A54" s="1">
        <v>40</v>
      </c>
      <c r="B54" s="1">
        <v>55</v>
      </c>
      <c r="C54" s="1">
        <v>62</v>
      </c>
      <c r="D54">
        <f t="shared" si="1"/>
        <v>1.3588709677419355</v>
      </c>
      <c r="E54" s="1" t="s">
        <v>5</v>
      </c>
    </row>
    <row r="55" spans="1:6" x14ac:dyDescent="0.2">
      <c r="A55" s="1">
        <v>40</v>
      </c>
      <c r="B55" s="1">
        <v>55</v>
      </c>
      <c r="C55" s="1">
        <v>62</v>
      </c>
      <c r="D55">
        <f t="shared" si="1"/>
        <v>1.3588709677419355</v>
      </c>
      <c r="E55" s="1" t="s">
        <v>5</v>
      </c>
    </row>
    <row r="56" spans="1:6" x14ac:dyDescent="0.2">
      <c r="A56" s="1">
        <v>40</v>
      </c>
      <c r="B56" s="1">
        <v>55</v>
      </c>
      <c r="C56" s="1">
        <v>62</v>
      </c>
      <c r="D56">
        <f t="shared" si="1"/>
        <v>1.3588709677419355</v>
      </c>
      <c r="E56" s="1" t="s">
        <v>5</v>
      </c>
    </row>
    <row r="57" spans="1:6" x14ac:dyDescent="0.2">
      <c r="A57" s="1">
        <v>40</v>
      </c>
      <c r="B57" s="1">
        <v>55</v>
      </c>
      <c r="C57" s="1">
        <v>62</v>
      </c>
      <c r="D57">
        <f t="shared" si="1"/>
        <v>1.3588709677419355</v>
      </c>
      <c r="E57" s="1" t="s">
        <v>5</v>
      </c>
    </row>
    <row r="58" spans="1:6" x14ac:dyDescent="0.2">
      <c r="A58" s="1">
        <v>40</v>
      </c>
      <c r="B58" s="1">
        <v>55</v>
      </c>
      <c r="C58" s="1">
        <v>62</v>
      </c>
      <c r="D58">
        <f t="shared" si="1"/>
        <v>1.3588709677419355</v>
      </c>
      <c r="E58" s="1" t="s">
        <v>5</v>
      </c>
    </row>
    <row r="59" spans="1:6" x14ac:dyDescent="0.2">
      <c r="A59" s="1">
        <v>40</v>
      </c>
      <c r="B59" s="1">
        <v>55</v>
      </c>
      <c r="C59" s="1">
        <v>62</v>
      </c>
      <c r="D59">
        <f t="shared" si="1"/>
        <v>1.3588709677419355</v>
      </c>
      <c r="E59" s="1" t="s">
        <v>5</v>
      </c>
    </row>
    <row r="60" spans="1:6" x14ac:dyDescent="0.2">
      <c r="A60" s="1">
        <v>40</v>
      </c>
      <c r="B60" s="1">
        <v>55</v>
      </c>
      <c r="C60" s="1">
        <v>62</v>
      </c>
      <c r="D60">
        <f t="shared" si="1"/>
        <v>1.3588709677419355</v>
      </c>
      <c r="E60" s="1" t="s">
        <v>5</v>
      </c>
    </row>
    <row r="61" spans="1:6" x14ac:dyDescent="0.2">
      <c r="A61" s="1">
        <v>40</v>
      </c>
      <c r="B61" s="1">
        <v>55</v>
      </c>
      <c r="C61" s="1">
        <v>62</v>
      </c>
      <c r="D61">
        <f t="shared" si="1"/>
        <v>1.3588709677419355</v>
      </c>
      <c r="E61" s="1" t="s">
        <v>5</v>
      </c>
    </row>
    <row r="62" spans="1:6" x14ac:dyDescent="0.2">
      <c r="A62" s="1">
        <v>27</v>
      </c>
      <c r="B62" s="1">
        <v>50</v>
      </c>
      <c r="C62" s="1">
        <v>21</v>
      </c>
      <c r="D62">
        <f t="shared" si="1"/>
        <v>1.8042328042328042</v>
      </c>
      <c r="E62" s="1" t="s">
        <v>4</v>
      </c>
      <c r="F62">
        <f>GEOMEAN(D62:D63)</f>
        <v>1.8042328042328042</v>
      </c>
    </row>
    <row r="63" spans="1:6" x14ac:dyDescent="0.2">
      <c r="A63" s="1">
        <v>27</v>
      </c>
      <c r="B63" s="1">
        <v>50</v>
      </c>
      <c r="C63" s="1">
        <v>21</v>
      </c>
      <c r="D63">
        <f t="shared" si="1"/>
        <v>1.8042328042328042</v>
      </c>
      <c r="E63" s="1" t="s">
        <v>5</v>
      </c>
    </row>
    <row r="64" spans="1:6" x14ac:dyDescent="0.2">
      <c r="A64" s="1">
        <v>27</v>
      </c>
      <c r="B64" s="1">
        <v>50</v>
      </c>
      <c r="C64" s="1">
        <v>21</v>
      </c>
      <c r="D64">
        <f t="shared" si="1"/>
        <v>1.8042328042328042</v>
      </c>
      <c r="E64" s="1" t="s">
        <v>5</v>
      </c>
    </row>
    <row r="65" spans="1:5" x14ac:dyDescent="0.2">
      <c r="A65" s="1">
        <v>27</v>
      </c>
      <c r="B65" s="1">
        <v>50</v>
      </c>
      <c r="C65" s="1">
        <v>21</v>
      </c>
      <c r="D65">
        <f t="shared" si="1"/>
        <v>1.8042328042328042</v>
      </c>
      <c r="E65" s="1" t="s">
        <v>5</v>
      </c>
    </row>
    <row r="66" spans="1:5" x14ac:dyDescent="0.2">
      <c r="A66" s="1">
        <v>27</v>
      </c>
      <c r="B66" s="1">
        <v>50</v>
      </c>
      <c r="C66" s="1">
        <v>21</v>
      </c>
      <c r="D66">
        <f t="shared" ref="D66:D97" si="2">((B66/A66)-1/C66)</f>
        <v>1.8042328042328042</v>
      </c>
      <c r="E66" s="1" t="s">
        <v>5</v>
      </c>
    </row>
    <row r="67" spans="1:5" x14ac:dyDescent="0.2">
      <c r="A67" s="1">
        <v>27</v>
      </c>
      <c r="B67" s="1">
        <v>50</v>
      </c>
      <c r="C67" s="1">
        <v>21</v>
      </c>
      <c r="D67">
        <f t="shared" si="2"/>
        <v>1.8042328042328042</v>
      </c>
      <c r="E67" s="1" t="s">
        <v>5</v>
      </c>
    </row>
    <row r="68" spans="1:5" x14ac:dyDescent="0.2">
      <c r="A68" s="1">
        <v>27</v>
      </c>
      <c r="B68" s="1">
        <v>50</v>
      </c>
      <c r="C68" s="1">
        <v>21</v>
      </c>
      <c r="D68">
        <f t="shared" si="2"/>
        <v>1.8042328042328042</v>
      </c>
      <c r="E68" s="1" t="s">
        <v>5</v>
      </c>
    </row>
    <row r="69" spans="1:5" x14ac:dyDescent="0.2">
      <c r="A69" s="1">
        <v>27</v>
      </c>
      <c r="B69" s="1">
        <v>50</v>
      </c>
      <c r="C69" s="1">
        <v>21</v>
      </c>
      <c r="D69">
        <f t="shared" si="2"/>
        <v>1.8042328042328042</v>
      </c>
      <c r="E69" s="1" t="s">
        <v>5</v>
      </c>
    </row>
    <row r="70" spans="1:5" x14ac:dyDescent="0.2">
      <c r="A70" s="1">
        <v>27</v>
      </c>
      <c r="B70" s="1">
        <v>50</v>
      </c>
      <c r="C70" s="1">
        <v>21</v>
      </c>
      <c r="D70">
        <f t="shared" si="2"/>
        <v>1.8042328042328042</v>
      </c>
      <c r="E70" s="1" t="s">
        <v>5</v>
      </c>
    </row>
    <row r="71" spans="1:5" x14ac:dyDescent="0.2">
      <c r="A71" s="1">
        <v>27</v>
      </c>
      <c r="B71" s="1">
        <v>50</v>
      </c>
      <c r="C71" s="1">
        <v>21</v>
      </c>
      <c r="D71">
        <f t="shared" si="2"/>
        <v>1.8042328042328042</v>
      </c>
      <c r="E71" s="1" t="s">
        <v>5</v>
      </c>
    </row>
    <row r="72" spans="1:5" x14ac:dyDescent="0.2">
      <c r="A72" s="1">
        <v>27</v>
      </c>
      <c r="B72" s="1">
        <v>50</v>
      </c>
      <c r="C72" s="1">
        <v>21</v>
      </c>
      <c r="D72">
        <f t="shared" si="2"/>
        <v>1.8042328042328042</v>
      </c>
      <c r="E72" s="1" t="s">
        <v>5</v>
      </c>
    </row>
    <row r="73" spans="1:5" x14ac:dyDescent="0.2">
      <c r="A73" s="1">
        <v>27</v>
      </c>
      <c r="B73" s="1">
        <v>50</v>
      </c>
      <c r="C73" s="1">
        <v>21</v>
      </c>
      <c r="D73">
        <f t="shared" si="2"/>
        <v>1.8042328042328042</v>
      </c>
      <c r="E73" s="1" t="s">
        <v>5</v>
      </c>
    </row>
    <row r="74" spans="1:5" x14ac:dyDescent="0.2">
      <c r="A74" s="1">
        <v>27</v>
      </c>
      <c r="B74" s="1">
        <v>50</v>
      </c>
      <c r="C74" s="1">
        <v>21</v>
      </c>
      <c r="D74">
        <f t="shared" si="2"/>
        <v>1.8042328042328042</v>
      </c>
      <c r="E74" s="1" t="s">
        <v>5</v>
      </c>
    </row>
    <row r="75" spans="1:5" x14ac:dyDescent="0.2">
      <c r="A75" s="1">
        <v>27</v>
      </c>
      <c r="B75" s="1">
        <v>50</v>
      </c>
      <c r="C75" s="1">
        <v>21</v>
      </c>
      <c r="D75">
        <f t="shared" si="2"/>
        <v>1.8042328042328042</v>
      </c>
      <c r="E75" s="1" t="s">
        <v>4</v>
      </c>
    </row>
    <row r="76" spans="1:5" x14ac:dyDescent="0.2">
      <c r="A76" s="1">
        <v>27</v>
      </c>
      <c r="B76" s="1">
        <v>50</v>
      </c>
      <c r="C76" s="1">
        <v>21</v>
      </c>
      <c r="D76">
        <f t="shared" si="2"/>
        <v>1.8042328042328042</v>
      </c>
      <c r="E76" s="1" t="s">
        <v>4</v>
      </c>
    </row>
    <row r="77" spans="1:5" x14ac:dyDescent="0.2">
      <c r="A77" s="1">
        <v>15</v>
      </c>
      <c r="B77" s="1">
        <v>35</v>
      </c>
      <c r="C77" s="1">
        <v>13</v>
      </c>
      <c r="D77">
        <f t="shared" si="2"/>
        <v>2.2564102564102564</v>
      </c>
      <c r="E77" s="1" t="s">
        <v>4</v>
      </c>
    </row>
    <row r="78" spans="1:5" x14ac:dyDescent="0.2">
      <c r="A78" s="1">
        <v>15</v>
      </c>
      <c r="B78" s="1">
        <v>35</v>
      </c>
      <c r="C78" s="1">
        <v>13</v>
      </c>
      <c r="D78">
        <f t="shared" si="2"/>
        <v>2.2564102564102564</v>
      </c>
      <c r="E78" s="1" t="s">
        <v>4</v>
      </c>
    </row>
    <row r="79" spans="1:5" x14ac:dyDescent="0.2">
      <c r="A79" s="1">
        <v>15</v>
      </c>
      <c r="B79" s="1">
        <v>35</v>
      </c>
      <c r="C79" s="1">
        <v>13</v>
      </c>
      <c r="D79">
        <f t="shared" si="2"/>
        <v>2.2564102564102564</v>
      </c>
      <c r="E79" s="1" t="s">
        <v>4</v>
      </c>
    </row>
    <row r="80" spans="1:5" x14ac:dyDescent="0.2">
      <c r="A80" s="1">
        <v>15</v>
      </c>
      <c r="B80" s="1">
        <v>35</v>
      </c>
      <c r="C80" s="1">
        <v>13</v>
      </c>
      <c r="D80">
        <f t="shared" si="2"/>
        <v>2.2564102564102564</v>
      </c>
      <c r="E80" s="1" t="s">
        <v>4</v>
      </c>
    </row>
    <row r="81" spans="1:6" x14ac:dyDescent="0.2">
      <c r="A81" s="1">
        <v>15</v>
      </c>
      <c r="B81" s="1">
        <v>35</v>
      </c>
      <c r="C81" s="1">
        <v>13</v>
      </c>
      <c r="D81">
        <f t="shared" si="2"/>
        <v>2.2564102564102564</v>
      </c>
      <c r="E81" s="1" t="s">
        <v>4</v>
      </c>
    </row>
    <row r="82" spans="1:6" x14ac:dyDescent="0.2">
      <c r="A82" s="1">
        <v>15</v>
      </c>
      <c r="B82" s="1">
        <v>35</v>
      </c>
      <c r="C82" s="1">
        <v>13</v>
      </c>
      <c r="D82">
        <f t="shared" si="2"/>
        <v>2.2564102564102564</v>
      </c>
      <c r="E82" s="1" t="s">
        <v>4</v>
      </c>
    </row>
    <row r="83" spans="1:6" x14ac:dyDescent="0.2">
      <c r="A83" s="1">
        <v>15</v>
      </c>
      <c r="B83" s="1">
        <v>35</v>
      </c>
      <c r="C83" s="1">
        <v>13</v>
      </c>
      <c r="D83">
        <f t="shared" si="2"/>
        <v>2.2564102564102564</v>
      </c>
      <c r="E83" s="1" t="s">
        <v>4</v>
      </c>
      <c r="F83">
        <f>GEOMEAN(D83:D84)</f>
        <v>2.2564102564102564</v>
      </c>
    </row>
    <row r="84" spans="1:6" x14ac:dyDescent="0.2">
      <c r="A84" s="1">
        <v>15</v>
      </c>
      <c r="B84" s="1">
        <v>35</v>
      </c>
      <c r="C84" s="1">
        <v>13</v>
      </c>
      <c r="D84">
        <f t="shared" si="2"/>
        <v>2.2564102564102564</v>
      </c>
      <c r="E84" s="1" t="s">
        <v>5</v>
      </c>
    </row>
    <row r="85" spans="1:6" x14ac:dyDescent="0.2">
      <c r="A85" s="1">
        <v>15</v>
      </c>
      <c r="B85" s="1">
        <v>35</v>
      </c>
      <c r="C85" s="1">
        <v>13</v>
      </c>
      <c r="D85">
        <f t="shared" si="2"/>
        <v>2.2564102564102564</v>
      </c>
      <c r="E85" s="1" t="s">
        <v>4</v>
      </c>
      <c r="F85">
        <f>GEOMEAN(D85:D86)</f>
        <v>2.2564102564102564</v>
      </c>
    </row>
    <row r="86" spans="1:6" x14ac:dyDescent="0.2">
      <c r="A86" s="1">
        <v>15</v>
      </c>
      <c r="B86" s="1">
        <v>35</v>
      </c>
      <c r="C86" s="1">
        <v>13</v>
      </c>
      <c r="D86">
        <f t="shared" si="2"/>
        <v>2.2564102564102564</v>
      </c>
      <c r="E86" s="1" t="s">
        <v>5</v>
      </c>
    </row>
    <row r="87" spans="1:6" x14ac:dyDescent="0.2">
      <c r="A87" s="1">
        <v>15</v>
      </c>
      <c r="B87" s="1">
        <v>35</v>
      </c>
      <c r="C87" s="1">
        <v>13</v>
      </c>
      <c r="D87">
        <f t="shared" si="2"/>
        <v>2.2564102564102564</v>
      </c>
      <c r="E87" s="1" t="s">
        <v>5</v>
      </c>
    </row>
    <row r="88" spans="1:6" x14ac:dyDescent="0.2">
      <c r="A88" s="1">
        <v>15</v>
      </c>
      <c r="B88" s="1">
        <v>35</v>
      </c>
      <c r="C88" s="1">
        <v>13</v>
      </c>
      <c r="D88">
        <f t="shared" si="2"/>
        <v>2.2564102564102564</v>
      </c>
      <c r="E88" s="1" t="s">
        <v>4</v>
      </c>
    </row>
    <row r="89" spans="1:6" x14ac:dyDescent="0.2">
      <c r="A89" s="1">
        <v>15</v>
      </c>
      <c r="B89" s="1">
        <v>35</v>
      </c>
      <c r="C89" s="1">
        <v>13</v>
      </c>
      <c r="D89">
        <f t="shared" si="2"/>
        <v>2.2564102564102564</v>
      </c>
      <c r="E89" s="1" t="s">
        <v>4</v>
      </c>
    </row>
    <row r="90" spans="1:6" x14ac:dyDescent="0.2">
      <c r="A90" s="1">
        <v>15</v>
      </c>
      <c r="B90" s="1">
        <v>35</v>
      </c>
      <c r="C90" s="1">
        <v>13</v>
      </c>
      <c r="D90">
        <f t="shared" si="2"/>
        <v>2.2564102564102564</v>
      </c>
      <c r="E90" s="1" t="s">
        <v>4</v>
      </c>
    </row>
    <row r="91" spans="1:6" x14ac:dyDescent="0.2">
      <c r="A91" s="1">
        <v>15</v>
      </c>
      <c r="B91" s="1">
        <v>35</v>
      </c>
      <c r="C91" s="1">
        <v>13</v>
      </c>
      <c r="D91">
        <f t="shared" si="2"/>
        <v>2.2564102564102564</v>
      </c>
      <c r="E91" s="1" t="s">
        <v>4</v>
      </c>
    </row>
    <row r="92" spans="1:6" x14ac:dyDescent="0.2">
      <c r="A92" s="1">
        <v>11</v>
      </c>
      <c r="B92" s="1">
        <v>30</v>
      </c>
      <c r="C92" s="1">
        <v>7</v>
      </c>
      <c r="D92">
        <f t="shared" si="2"/>
        <v>2.5844155844155843</v>
      </c>
      <c r="E92" s="1" t="s">
        <v>4</v>
      </c>
    </row>
    <row r="93" spans="1:6" x14ac:dyDescent="0.2">
      <c r="A93" s="1">
        <v>11</v>
      </c>
      <c r="B93" s="1">
        <v>30</v>
      </c>
      <c r="C93" s="1">
        <v>7</v>
      </c>
      <c r="D93">
        <f t="shared" si="2"/>
        <v>2.5844155844155843</v>
      </c>
      <c r="E93" s="1" t="s">
        <v>4</v>
      </c>
      <c r="F93">
        <f>GEOMEAN(D93:D94)</f>
        <v>2.5844155844155843</v>
      </c>
    </row>
    <row r="94" spans="1:6" x14ac:dyDescent="0.2">
      <c r="A94" s="1">
        <v>11</v>
      </c>
      <c r="B94" s="1">
        <v>30</v>
      </c>
      <c r="C94" s="1">
        <v>7</v>
      </c>
      <c r="D94">
        <f t="shared" si="2"/>
        <v>2.5844155844155843</v>
      </c>
      <c r="E94" s="1" t="s">
        <v>5</v>
      </c>
    </row>
    <row r="95" spans="1:6" x14ac:dyDescent="0.2">
      <c r="A95" s="1">
        <v>11</v>
      </c>
      <c r="B95" s="1">
        <v>30</v>
      </c>
      <c r="C95" s="1">
        <v>7</v>
      </c>
      <c r="D95">
        <f t="shared" si="2"/>
        <v>2.5844155844155843</v>
      </c>
      <c r="E95" s="1" t="s">
        <v>4</v>
      </c>
      <c r="F95">
        <f>GEOMEAN(D95:D96)</f>
        <v>2.5844155844155843</v>
      </c>
    </row>
    <row r="96" spans="1:6" x14ac:dyDescent="0.2">
      <c r="A96" s="1">
        <v>11</v>
      </c>
      <c r="B96" s="1">
        <v>30</v>
      </c>
      <c r="C96" s="1">
        <v>7</v>
      </c>
      <c r="D96">
        <f t="shared" si="2"/>
        <v>2.5844155844155843</v>
      </c>
      <c r="E96" s="1" t="s">
        <v>5</v>
      </c>
    </row>
    <row r="97" spans="1:6" x14ac:dyDescent="0.2">
      <c r="A97" s="1">
        <v>11</v>
      </c>
      <c r="B97" s="1">
        <v>30</v>
      </c>
      <c r="C97" s="1">
        <v>7</v>
      </c>
      <c r="D97">
        <f t="shared" si="2"/>
        <v>2.5844155844155843</v>
      </c>
      <c r="E97" s="1" t="s">
        <v>4</v>
      </c>
    </row>
    <row r="98" spans="1:6" x14ac:dyDescent="0.2">
      <c r="A98" s="1">
        <v>11</v>
      </c>
      <c r="B98" s="1">
        <v>30</v>
      </c>
      <c r="C98" s="1">
        <v>7</v>
      </c>
      <c r="D98">
        <f t="shared" ref="D98:D106" si="3">((B98/A98)-1/C98)</f>
        <v>2.5844155844155843</v>
      </c>
      <c r="E98" s="1" t="s">
        <v>4</v>
      </c>
      <c r="F98">
        <f>GEOMEAN(D98:D99)</f>
        <v>2.5844155844155843</v>
      </c>
    </row>
    <row r="99" spans="1:6" x14ac:dyDescent="0.2">
      <c r="A99" s="1">
        <v>11</v>
      </c>
      <c r="B99" s="1">
        <v>30</v>
      </c>
      <c r="C99" s="1">
        <v>7</v>
      </c>
      <c r="D99">
        <f t="shared" si="3"/>
        <v>2.5844155844155843</v>
      </c>
      <c r="E99" s="1" t="s">
        <v>5</v>
      </c>
    </row>
    <row r="100" spans="1:6" x14ac:dyDescent="0.2">
      <c r="A100" s="1">
        <v>11</v>
      </c>
      <c r="B100" s="1">
        <v>30</v>
      </c>
      <c r="C100" s="1">
        <v>7</v>
      </c>
      <c r="D100">
        <f t="shared" si="3"/>
        <v>2.5844155844155843</v>
      </c>
      <c r="E100" s="1" t="s">
        <v>4</v>
      </c>
    </row>
    <row r="101" spans="1:6" x14ac:dyDescent="0.2">
      <c r="A101" s="1">
        <v>11</v>
      </c>
      <c r="B101" s="1">
        <v>30</v>
      </c>
      <c r="C101" s="1">
        <v>7</v>
      </c>
      <c r="D101">
        <f t="shared" si="3"/>
        <v>2.5844155844155843</v>
      </c>
      <c r="E101" s="1" t="s">
        <v>4</v>
      </c>
    </row>
    <row r="102" spans="1:6" x14ac:dyDescent="0.2">
      <c r="A102" s="1">
        <v>11</v>
      </c>
      <c r="B102" s="1">
        <v>30</v>
      </c>
      <c r="C102" s="1">
        <v>7</v>
      </c>
      <c r="D102">
        <f t="shared" si="3"/>
        <v>2.5844155844155843</v>
      </c>
      <c r="E102" s="1" t="s">
        <v>4</v>
      </c>
    </row>
    <row r="103" spans="1:6" x14ac:dyDescent="0.2">
      <c r="A103" s="1">
        <v>11</v>
      </c>
      <c r="B103" s="1">
        <v>30</v>
      </c>
      <c r="C103" s="1">
        <v>7</v>
      </c>
      <c r="D103">
        <f t="shared" si="3"/>
        <v>2.5844155844155843</v>
      </c>
      <c r="E103" s="1" t="s">
        <v>4</v>
      </c>
    </row>
    <row r="104" spans="1:6" x14ac:dyDescent="0.2">
      <c r="A104" s="1">
        <v>11</v>
      </c>
      <c r="B104" s="1">
        <v>30</v>
      </c>
      <c r="C104" s="1">
        <v>7</v>
      </c>
      <c r="D104">
        <f t="shared" si="3"/>
        <v>2.5844155844155843</v>
      </c>
      <c r="E104" s="1" t="s">
        <v>4</v>
      </c>
    </row>
    <row r="105" spans="1:6" x14ac:dyDescent="0.2">
      <c r="A105" s="1">
        <v>11</v>
      </c>
      <c r="B105" s="1">
        <v>30</v>
      </c>
      <c r="C105" s="1">
        <v>7</v>
      </c>
      <c r="D105">
        <f t="shared" si="3"/>
        <v>2.5844155844155843</v>
      </c>
      <c r="E105" s="1" t="s">
        <v>4</v>
      </c>
    </row>
    <row r="106" spans="1:6" x14ac:dyDescent="0.2">
      <c r="A106" s="1">
        <v>11</v>
      </c>
      <c r="B106" s="1">
        <v>30</v>
      </c>
      <c r="C106" s="1">
        <v>7</v>
      </c>
      <c r="D106">
        <f t="shared" si="3"/>
        <v>2.5844155844155843</v>
      </c>
      <c r="E106" s="1" t="s">
        <v>4</v>
      </c>
    </row>
  </sheetData>
  <sortState xmlns:xlrd2="http://schemas.microsoft.com/office/spreadsheetml/2017/richdata2" ref="A2:F111">
    <sortCondition ref="D1:D11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m_2_Delay Discounting Task_2025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2025-10-24T16:20:48Z</dcterms:created>
  <dcterms:modified xsi:type="dcterms:W3CDTF">2025-11-05T11:49:57Z</dcterms:modified>
</cp:coreProperties>
</file>