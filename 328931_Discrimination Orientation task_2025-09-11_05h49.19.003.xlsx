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Lab in Psychology PSY310/Psychopy/Lab Reports/Orientation Discrimination Task/"/>
    </mc:Choice>
  </mc:AlternateContent>
  <xr:revisionPtr revIDLastSave="0" documentId="13_ncr:1_{6CD3C775-7C56-F644-9E05-4E9987D4FBDD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328931_Discrimination Orientati" sheetId="1" r:id="rId1"/>
    <sheet name="Analysis" sheetId="2" r:id="rId2"/>
  </sheets>
  <definedNames>
    <definedName name="_xlnm._FilterDatabase" localSheetId="1" hidden="1">Analysis!$C$1:$C$118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2" l="1"/>
  <c r="H102" i="2"/>
  <c r="I102" i="2"/>
  <c r="F102" i="2"/>
  <c r="L19" i="2" l="1"/>
  <c r="L20" i="2"/>
  <c r="L23" i="2"/>
  <c r="L22" i="2"/>
</calcChain>
</file>

<file path=xl/sharedStrings.xml><?xml version="1.0" encoding="utf-8"?>
<sst xmlns="http://schemas.openxmlformats.org/spreadsheetml/2006/main" count="1158" uniqueCount="62">
  <si>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</si>
  <si>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</si>
  <si>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</si>
  <si>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</si>
  <si>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</si>
  <si>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</si>
  <si>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</si>
  <si>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</si>
  <si>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</si>
  <si>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</si>
  <si>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</si>
  <si>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</si>
  <si>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</si>
  <si>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</si>
  <si>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</si>
  <si>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</si>
  <si>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</si>
  <si>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</si>
  <si>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</si>
  <si>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</si>
  <si>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</si>
  <si>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</si>
  <si>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</si>
  <si>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</si>
  <si>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</si>
  <si>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</si>
  <si>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</si>
  <si>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</si>
  <si>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</si>
  <si>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</si>
  <si>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</si>
  <si>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</si>
  <si>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</si>
  <si>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</si>
  <si>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2025-09-11_05h49.43.433</t>
  </si>
  <si>
    <t>Discrimination Orientation task</t>
  </si>
  <si>
    <t>2025.2.0</t>
  </si>
  <si>
    <t>2025-09-11 05h49.43.451105 +0530</t>
  </si>
  <si>
    <t>down</t>
  </si>
  <si>
    <t>1=right,0=wrong</t>
  </si>
  <si>
    <t>If there is a signal present in the trial, it has 0 tilt with an "up" key</t>
  </si>
  <si>
    <t>If there is a signal absent in the trial, it has other than 0 tilt with a "down" key as the correct response</t>
  </si>
  <si>
    <t>HIT</t>
  </si>
  <si>
    <t>MISS</t>
  </si>
  <si>
    <t>CR.</t>
  </si>
  <si>
    <t>FA.</t>
  </si>
  <si>
    <t>True State</t>
  </si>
  <si>
    <t>Participant says "Signal Present"</t>
  </si>
  <si>
    <t>Participant says "Signal Absent"</t>
  </si>
  <si>
    <t>Signal Present</t>
  </si>
  <si>
    <r>
      <t>Hit</t>
    </r>
    <r>
      <rPr>
        <sz val="12"/>
        <color rgb="FF000000"/>
        <rFont val="Calibri"/>
        <family val="2"/>
        <scheme val="minor"/>
      </rPr>
      <t> (correct)</t>
    </r>
  </si>
  <si>
    <r>
      <t>Miss</t>
    </r>
    <r>
      <rPr>
        <sz val="12"/>
        <color rgb="FF000000"/>
        <rFont val="Calibri"/>
        <family val="2"/>
        <scheme val="minor"/>
      </rPr>
      <t> (error)</t>
    </r>
  </si>
  <si>
    <t>Signal Absent</t>
  </si>
  <si>
    <r>
      <t>False Alarm</t>
    </r>
    <r>
      <rPr>
        <sz val="12"/>
        <color rgb="FF000000"/>
        <rFont val="Calibri"/>
        <family val="2"/>
        <scheme val="minor"/>
      </rPr>
      <t> (error)</t>
    </r>
  </si>
  <si>
    <r>
      <t>Correct Rejection</t>
    </r>
    <r>
      <rPr>
        <sz val="12"/>
        <color rgb="FF000000"/>
        <rFont val="Calibri"/>
        <family val="2"/>
        <scheme val="minor"/>
      </rPr>
      <t> (correct)</t>
    </r>
  </si>
  <si>
    <t>absent</t>
  </si>
  <si>
    <t>present</t>
  </si>
  <si>
    <t>C = - z(prop hit) + z(prop FA)/2</t>
  </si>
  <si>
    <t>D-prime=z(prop hit)-z(prop FA)</t>
  </si>
  <si>
    <t>Prop hit= hit/hit+miss</t>
  </si>
  <si>
    <t>Prop FA= FA/FA+CR</t>
  </si>
  <si>
    <t>main doubt: can I take this data if the accuracy of is 0.3?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</si>
</sst>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0" fillId="34" borderId="0" xfId="0" applyFill="1"/>
    <xf numFmtId="0" fontId="19" fillId="0" borderId="0" xfId="0" applyFont="1"/>
    <xf numFmtId="0" fontId="19" fillId="38" borderId="0" xfId="0" applyFon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20" fillId="0" borderId="0" xfId="0" applyFont="1"/>
    <xf numFmtId="0" fontId="19" fillId="0" borderId="10" xfId="0" applyFont="1" applyBorder="1"/>
    <xf numFmtId="0" fontId="0" fillId="0" borderId="10" xfId="0" applyBorder="1"/>
    <xf numFmtId="0" fontId="20" fillId="0" borderId="10" xfId="0" applyFont="1" applyBorder="1"/>
    <xf numFmtId="0" fontId="20" fillId="0" borderId="10" xfId="0" applyNumberFormat="1" applyFont="1" applyBorder="1"/>
    <xf numFmtId="0" fontId="18" fillId="39" borderId="10" xfId="0" applyFont="1" applyFill="1" applyBorder="1"/>
    <xf numFmtId="0" fontId="18" fillId="0" borderId="10" xfId="0" applyFont="1" applyBorder="1"/>
    <xf numFmtId="0" fontId="18" fillId="33" borderId="10" xfId="0" applyFont="1" applyFill="1" applyBorder="1"/>
    <xf numFmtId="0" fontId="18" fillId="35" borderId="10" xfId="0" applyFont="1" applyFill="1" applyBorder="1"/>
    <xf numFmtId="0" fontId="18" fillId="36" borderId="10" xfId="0" applyFont="1" applyFill="1" applyBorder="1"/>
    <xf numFmtId="0" fontId="18" fillId="37" borderId="10" xfId="0" applyFont="1" applyFill="1" applyBorder="1"/>
    <xf numFmtId="0" fontId="0" fillId="40" borderId="0" xfId="0" applyFill="1"/>
    <xf numFmtId="0" fontId="17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workbookViewId="0">
      <selection sqref="A1:A1048576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0</v>
      </c>
      <c r="B2">
        <v>0</v>
      </c>
      <c r="C2">
        <v>0</v>
      </c>
      <c r="D2">
        <v>4</v>
      </c>
      <c r="E2" t="s">
        <v>32</v>
      </c>
      <c r="F2">
        <v>0</v>
      </c>
      <c r="G2">
        <v>1.6654513330140599</v>
      </c>
      <c r="H2" t="s">
        <v>33</v>
      </c>
      <c r="I2">
        <v>0</v>
      </c>
      <c r="J2">
        <v>0</v>
      </c>
      <c r="K2">
        <v>0</v>
      </c>
      <c r="L2">
        <v>0</v>
      </c>
      <c r="M2">
        <v>1.51913329900708E-2</v>
      </c>
      <c r="O2">
        <v>1.0024541988968801E-2</v>
      </c>
      <c r="P2">
        <v>1.51913329900708E-2</v>
      </c>
      <c r="Q2">
        <v>1.01415641698986</v>
      </c>
      <c r="R2">
        <v>1.02241795798181</v>
      </c>
      <c r="S2">
        <v>3.1048673749901301</v>
      </c>
      <c r="T2">
        <v>4</v>
      </c>
      <c r="U2" t="s">
        <v>32</v>
      </c>
      <c r="V2">
        <v>0</v>
      </c>
      <c r="W2">
        <v>1.6654513330140599</v>
      </c>
      <c r="X2" t="s">
        <v>33</v>
      </c>
      <c r="Y2">
        <v>328931</v>
      </c>
      <c r="Z2">
        <v>1</v>
      </c>
      <c r="AA2" t="s">
        <v>34</v>
      </c>
      <c r="AB2" t="s">
        <v>35</v>
      </c>
      <c r="AD2" t="s">
        <v>36</v>
      </c>
      <c r="AE2" t="s">
        <v>33</v>
      </c>
      <c r="AF2" t="s">
        <v>37</v>
      </c>
    </row>
    <row r="3" spans="1:32" x14ac:dyDescent="0.2">
      <c r="A3">
        <v>1</v>
      </c>
      <c r="B3">
        <v>0</v>
      </c>
      <c r="C3">
        <v>1</v>
      </c>
      <c r="D3">
        <v>1</v>
      </c>
      <c r="E3" t="s">
        <v>32</v>
      </c>
      <c r="F3">
        <v>0</v>
      </c>
      <c r="G3">
        <v>1.31220633300836</v>
      </c>
      <c r="H3" t="s">
        <v>33</v>
      </c>
      <c r="I3">
        <v>1</v>
      </c>
      <c r="J3">
        <v>0</v>
      </c>
      <c r="K3">
        <v>1</v>
      </c>
      <c r="L3">
        <v>0</v>
      </c>
      <c r="M3">
        <v>3.1829690829908901</v>
      </c>
      <c r="O3">
        <v>3.10502416698727</v>
      </c>
      <c r="P3">
        <v>3.1829690829908901</v>
      </c>
      <c r="Q3">
        <v>4.0969053749868101</v>
      </c>
      <c r="R3">
        <v>4.1771414169925203</v>
      </c>
      <c r="S3">
        <v>5.41181837499607</v>
      </c>
      <c r="T3">
        <v>1</v>
      </c>
      <c r="U3" t="s">
        <v>32</v>
      </c>
      <c r="V3">
        <v>0</v>
      </c>
      <c r="W3">
        <v>1.31220633300836</v>
      </c>
      <c r="X3" t="s">
        <v>33</v>
      </c>
      <c r="Y3">
        <v>328931</v>
      </c>
      <c r="Z3">
        <v>1</v>
      </c>
      <c r="AA3" t="s">
        <v>34</v>
      </c>
      <c r="AB3" t="s">
        <v>35</v>
      </c>
      <c r="AD3" t="s">
        <v>36</v>
      </c>
      <c r="AE3" t="s">
        <v>33</v>
      </c>
      <c r="AF3" t="s">
        <v>37</v>
      </c>
    </row>
    <row r="4" spans="1:32" x14ac:dyDescent="0.2">
      <c r="A4">
        <v>2</v>
      </c>
      <c r="B4">
        <v>0</v>
      </c>
      <c r="C4">
        <v>2</v>
      </c>
      <c r="D4">
        <v>0</v>
      </c>
      <c r="E4" t="s">
        <v>32</v>
      </c>
      <c r="F4">
        <v>1</v>
      </c>
      <c r="G4">
        <v>1.1358038739999701</v>
      </c>
      <c r="H4" t="s">
        <v>33</v>
      </c>
      <c r="I4">
        <v>2</v>
      </c>
      <c r="J4">
        <v>0</v>
      </c>
      <c r="K4">
        <v>2</v>
      </c>
      <c r="L4">
        <v>0</v>
      </c>
      <c r="M4">
        <v>5.4341390829940703</v>
      </c>
      <c r="O4">
        <v>5.4122017079789604</v>
      </c>
      <c r="P4">
        <v>5.4341390829940703</v>
      </c>
      <c r="Q4">
        <v>6.4062469170021297</v>
      </c>
      <c r="R4">
        <v>6.42840699999942</v>
      </c>
      <c r="S4">
        <v>7.54516124998917</v>
      </c>
      <c r="T4">
        <v>0</v>
      </c>
      <c r="U4" t="s">
        <v>32</v>
      </c>
      <c r="V4">
        <v>1</v>
      </c>
      <c r="W4">
        <v>1.1358038739999701</v>
      </c>
      <c r="X4" t="s">
        <v>33</v>
      </c>
      <c r="Y4">
        <v>328931</v>
      </c>
      <c r="Z4">
        <v>1</v>
      </c>
      <c r="AA4" t="s">
        <v>34</v>
      </c>
      <c r="AB4" t="s">
        <v>35</v>
      </c>
      <c r="AD4" t="s">
        <v>36</v>
      </c>
      <c r="AE4" t="s">
        <v>33</v>
      </c>
      <c r="AF4" t="s">
        <v>37</v>
      </c>
    </row>
    <row r="5" spans="1:32" x14ac:dyDescent="0.2">
      <c r="A5">
        <v>3</v>
      </c>
      <c r="B5">
        <v>0</v>
      </c>
      <c r="C5">
        <v>3</v>
      </c>
      <c r="D5">
        <v>0</v>
      </c>
      <c r="E5" t="s">
        <v>32</v>
      </c>
      <c r="F5">
        <v>1</v>
      </c>
      <c r="G5">
        <v>1.66433595801936</v>
      </c>
      <c r="H5" t="s">
        <v>33</v>
      </c>
      <c r="I5">
        <v>3</v>
      </c>
      <c r="J5">
        <v>0</v>
      </c>
      <c r="K5">
        <v>3</v>
      </c>
      <c r="L5">
        <v>0</v>
      </c>
      <c r="M5">
        <v>7.5546717499964799</v>
      </c>
      <c r="O5">
        <v>7.54554083300172</v>
      </c>
      <c r="P5">
        <v>7.5546717499964799</v>
      </c>
      <c r="Q5">
        <v>8.5395447500049997</v>
      </c>
      <c r="R5">
        <v>8.5456205419905</v>
      </c>
      <c r="S5">
        <v>10.2082415419863</v>
      </c>
      <c r="T5">
        <v>0</v>
      </c>
      <c r="U5" t="s">
        <v>32</v>
      </c>
      <c r="V5">
        <v>1</v>
      </c>
      <c r="W5">
        <v>1.66433595801936</v>
      </c>
      <c r="X5" t="s">
        <v>33</v>
      </c>
      <c r="Y5">
        <v>328931</v>
      </c>
      <c r="Z5">
        <v>1</v>
      </c>
      <c r="AA5" t="s">
        <v>34</v>
      </c>
      <c r="AB5" t="s">
        <v>35</v>
      </c>
      <c r="AD5" t="s">
        <v>36</v>
      </c>
      <c r="AE5" t="s">
        <v>33</v>
      </c>
      <c r="AF5" t="s">
        <v>37</v>
      </c>
    </row>
    <row r="6" spans="1:32" x14ac:dyDescent="0.2">
      <c r="A6">
        <v>4</v>
      </c>
      <c r="B6">
        <v>0</v>
      </c>
      <c r="C6">
        <v>4</v>
      </c>
      <c r="D6">
        <v>-4</v>
      </c>
      <c r="E6" t="s">
        <v>32</v>
      </c>
      <c r="F6">
        <v>0</v>
      </c>
      <c r="G6">
        <v>0.93592745802015997</v>
      </c>
      <c r="H6" t="s">
        <v>33</v>
      </c>
      <c r="I6">
        <v>4</v>
      </c>
      <c r="J6">
        <v>0</v>
      </c>
      <c r="K6">
        <v>4</v>
      </c>
      <c r="L6">
        <v>0</v>
      </c>
      <c r="M6">
        <v>10.2166672500025</v>
      </c>
      <c r="O6">
        <v>10.2088697500003</v>
      </c>
      <c r="P6">
        <v>10.2166672500025</v>
      </c>
      <c r="Q6">
        <v>11.206057707982801</v>
      </c>
      <c r="R6">
        <v>11.2121260830026</v>
      </c>
      <c r="S6">
        <v>12.1462802499881</v>
      </c>
      <c r="T6">
        <v>-4</v>
      </c>
      <c r="U6" t="s">
        <v>32</v>
      </c>
      <c r="V6">
        <v>0</v>
      </c>
      <c r="W6">
        <v>0.93592745802015997</v>
      </c>
      <c r="X6" t="s">
        <v>33</v>
      </c>
      <c r="Y6">
        <v>328931</v>
      </c>
      <c r="Z6">
        <v>1</v>
      </c>
      <c r="AA6" t="s">
        <v>34</v>
      </c>
      <c r="AB6" t="s">
        <v>35</v>
      </c>
      <c r="AD6" t="s">
        <v>36</v>
      </c>
      <c r="AE6" t="s">
        <v>33</v>
      </c>
      <c r="AF6" t="s">
        <v>37</v>
      </c>
    </row>
    <row r="7" spans="1:32" x14ac:dyDescent="0.2">
      <c r="A7">
        <v>5</v>
      </c>
      <c r="B7">
        <v>0</v>
      </c>
      <c r="C7">
        <v>5</v>
      </c>
      <c r="D7">
        <v>0</v>
      </c>
      <c r="E7" t="s">
        <v>38</v>
      </c>
      <c r="F7">
        <v>0</v>
      </c>
      <c r="G7">
        <v>0.93289387499680698</v>
      </c>
      <c r="H7" t="s">
        <v>33</v>
      </c>
      <c r="I7">
        <v>5</v>
      </c>
      <c r="J7">
        <v>0</v>
      </c>
      <c r="K7">
        <v>5</v>
      </c>
      <c r="L7">
        <v>0</v>
      </c>
      <c r="M7">
        <v>12.1554844999918</v>
      </c>
      <c r="O7">
        <v>12.146652791998299</v>
      </c>
      <c r="P7">
        <v>12.1554844999918</v>
      </c>
      <c r="Q7">
        <v>13.1469855829782</v>
      </c>
      <c r="R7">
        <v>13.1469855829782</v>
      </c>
      <c r="S7">
        <v>14.0910541669873</v>
      </c>
      <c r="T7">
        <v>0</v>
      </c>
      <c r="U7" t="s">
        <v>38</v>
      </c>
      <c r="V7">
        <v>0</v>
      </c>
      <c r="W7">
        <v>0.93289387499680698</v>
      </c>
      <c r="X7" t="s">
        <v>33</v>
      </c>
      <c r="Y7">
        <v>328931</v>
      </c>
      <c r="Z7">
        <v>1</v>
      </c>
      <c r="AA7" t="s">
        <v>34</v>
      </c>
      <c r="AB7" t="s">
        <v>35</v>
      </c>
      <c r="AD7" t="s">
        <v>36</v>
      </c>
      <c r="AE7" t="s">
        <v>33</v>
      </c>
      <c r="AF7" t="s">
        <v>37</v>
      </c>
    </row>
    <row r="8" spans="1:32" x14ac:dyDescent="0.2">
      <c r="A8">
        <v>6</v>
      </c>
      <c r="B8">
        <v>0</v>
      </c>
      <c r="C8">
        <v>6</v>
      </c>
      <c r="D8">
        <v>0</v>
      </c>
      <c r="E8" t="s">
        <v>38</v>
      </c>
      <c r="F8">
        <v>0</v>
      </c>
      <c r="G8">
        <v>0.63236908300314099</v>
      </c>
      <c r="H8" t="s">
        <v>33</v>
      </c>
      <c r="I8">
        <v>6</v>
      </c>
      <c r="J8">
        <v>0</v>
      </c>
      <c r="K8">
        <v>6</v>
      </c>
      <c r="L8">
        <v>0</v>
      </c>
      <c r="M8">
        <v>14.1008082079933</v>
      </c>
      <c r="O8">
        <v>14.0916183329827</v>
      </c>
      <c r="P8">
        <v>14.1008082079933</v>
      </c>
      <c r="Q8">
        <v>15.0894833749916</v>
      </c>
      <c r="R8">
        <v>15.0950467920047</v>
      </c>
      <c r="S8">
        <v>15.7248782079841</v>
      </c>
      <c r="T8">
        <v>0</v>
      </c>
      <c r="U8" t="s">
        <v>38</v>
      </c>
      <c r="V8">
        <v>0</v>
      </c>
      <c r="W8">
        <v>0.63236908300314099</v>
      </c>
      <c r="X8" t="s">
        <v>33</v>
      </c>
      <c r="Y8">
        <v>328931</v>
      </c>
      <c r="Z8">
        <v>1</v>
      </c>
      <c r="AA8" t="s">
        <v>34</v>
      </c>
      <c r="AB8" t="s">
        <v>35</v>
      </c>
      <c r="AD8" t="s">
        <v>36</v>
      </c>
      <c r="AE8" t="s">
        <v>33</v>
      </c>
      <c r="AF8" t="s">
        <v>37</v>
      </c>
    </row>
    <row r="9" spans="1:32" x14ac:dyDescent="0.2">
      <c r="A9">
        <v>7</v>
      </c>
      <c r="B9">
        <v>0</v>
      </c>
      <c r="C9">
        <v>7</v>
      </c>
      <c r="D9">
        <v>-4</v>
      </c>
      <c r="E9" t="s">
        <v>32</v>
      </c>
      <c r="F9">
        <v>0</v>
      </c>
      <c r="G9">
        <v>0.81307299900799901</v>
      </c>
      <c r="H9" t="s">
        <v>33</v>
      </c>
      <c r="I9">
        <v>7</v>
      </c>
      <c r="J9">
        <v>0</v>
      </c>
      <c r="K9">
        <v>7</v>
      </c>
      <c r="L9">
        <v>0</v>
      </c>
      <c r="M9">
        <v>15.735196541994799</v>
      </c>
      <c r="O9">
        <v>15.725813875003899</v>
      </c>
      <c r="P9">
        <v>15.735196541994799</v>
      </c>
      <c r="Q9">
        <v>16.7227095830021</v>
      </c>
      <c r="R9">
        <v>16.728977999999099</v>
      </c>
      <c r="S9">
        <v>17.541435958002602</v>
      </c>
      <c r="T9">
        <v>-4</v>
      </c>
      <c r="U9" t="s">
        <v>32</v>
      </c>
      <c r="V9">
        <v>0</v>
      </c>
      <c r="W9">
        <v>0.81307299900799901</v>
      </c>
      <c r="X9" t="s">
        <v>33</v>
      </c>
      <c r="Y9">
        <v>328931</v>
      </c>
      <c r="Z9">
        <v>1</v>
      </c>
      <c r="AA9" t="s">
        <v>34</v>
      </c>
      <c r="AB9" t="s">
        <v>35</v>
      </c>
      <c r="AD9" t="s">
        <v>36</v>
      </c>
      <c r="AE9" t="s">
        <v>33</v>
      </c>
      <c r="AF9" t="s">
        <v>37</v>
      </c>
    </row>
    <row r="10" spans="1:32" x14ac:dyDescent="0.2">
      <c r="A10">
        <v>8</v>
      </c>
      <c r="B10">
        <v>0</v>
      </c>
      <c r="C10">
        <v>8</v>
      </c>
      <c r="D10">
        <v>0</v>
      </c>
      <c r="E10" t="s">
        <v>32</v>
      </c>
      <c r="F10">
        <v>1</v>
      </c>
      <c r="G10">
        <v>1.2253328739898199</v>
      </c>
      <c r="H10" t="s">
        <v>33</v>
      </c>
      <c r="I10">
        <v>8</v>
      </c>
      <c r="J10">
        <v>0</v>
      </c>
      <c r="K10">
        <v>8</v>
      </c>
      <c r="L10">
        <v>0</v>
      </c>
      <c r="M10">
        <v>17.551265291985999</v>
      </c>
      <c r="O10">
        <v>17.542053457989802</v>
      </c>
      <c r="P10">
        <v>17.551265291985999</v>
      </c>
      <c r="Q10">
        <v>18.539462499989799</v>
      </c>
      <c r="R10">
        <v>18.544923832989198</v>
      </c>
      <c r="S10">
        <v>19.774222707987001</v>
      </c>
      <c r="T10">
        <v>0</v>
      </c>
      <c r="U10" t="s">
        <v>32</v>
      </c>
      <c r="V10">
        <v>1</v>
      </c>
      <c r="W10">
        <v>1.2253328739898199</v>
      </c>
      <c r="X10" t="s">
        <v>33</v>
      </c>
      <c r="Y10">
        <v>328931</v>
      </c>
      <c r="Z10">
        <v>1</v>
      </c>
      <c r="AA10" t="s">
        <v>34</v>
      </c>
      <c r="AB10" t="s">
        <v>35</v>
      </c>
      <c r="AD10" t="s">
        <v>36</v>
      </c>
      <c r="AE10" t="s">
        <v>33</v>
      </c>
      <c r="AF10" t="s">
        <v>37</v>
      </c>
    </row>
    <row r="11" spans="1:32" x14ac:dyDescent="0.2">
      <c r="A11">
        <v>9</v>
      </c>
      <c r="B11">
        <v>0</v>
      </c>
      <c r="C11">
        <v>9</v>
      </c>
      <c r="D11">
        <v>0</v>
      </c>
      <c r="E11" t="s">
        <v>32</v>
      </c>
      <c r="F11">
        <v>1</v>
      </c>
      <c r="G11">
        <v>1.0559936249919699</v>
      </c>
      <c r="H11" t="s">
        <v>33</v>
      </c>
      <c r="I11">
        <v>9</v>
      </c>
      <c r="J11">
        <v>0</v>
      </c>
      <c r="K11">
        <v>9</v>
      </c>
      <c r="L11">
        <v>0</v>
      </c>
      <c r="M11">
        <v>19.783754707983402</v>
      </c>
      <c r="O11">
        <v>19.774664458003802</v>
      </c>
      <c r="P11">
        <v>19.783754707983402</v>
      </c>
      <c r="Q11">
        <v>20.772710499993899</v>
      </c>
      <c r="R11">
        <v>20.777242957992701</v>
      </c>
      <c r="S11">
        <v>21.842136291990698</v>
      </c>
      <c r="T11">
        <v>0</v>
      </c>
      <c r="U11" t="s">
        <v>32</v>
      </c>
      <c r="V11">
        <v>1</v>
      </c>
      <c r="W11">
        <v>1.0559936249919699</v>
      </c>
      <c r="X11" t="s">
        <v>33</v>
      </c>
      <c r="Y11">
        <v>328931</v>
      </c>
      <c r="Z11">
        <v>1</v>
      </c>
      <c r="AA11" t="s">
        <v>34</v>
      </c>
      <c r="AB11" t="s">
        <v>35</v>
      </c>
      <c r="AD11" t="s">
        <v>36</v>
      </c>
      <c r="AE11" t="s">
        <v>33</v>
      </c>
      <c r="AF11" t="s">
        <v>37</v>
      </c>
    </row>
    <row r="12" spans="1:32" x14ac:dyDescent="0.2">
      <c r="A12">
        <v>10</v>
      </c>
      <c r="B12">
        <v>0</v>
      </c>
      <c r="C12">
        <v>10</v>
      </c>
      <c r="D12">
        <v>4</v>
      </c>
      <c r="E12" t="s">
        <v>32</v>
      </c>
      <c r="F12">
        <v>0</v>
      </c>
      <c r="G12">
        <v>0.692668583011254</v>
      </c>
      <c r="H12" t="s">
        <v>33</v>
      </c>
      <c r="I12">
        <v>10</v>
      </c>
      <c r="J12">
        <v>0</v>
      </c>
      <c r="K12">
        <v>10</v>
      </c>
      <c r="L12">
        <v>0</v>
      </c>
      <c r="M12">
        <v>21.8519260419998</v>
      </c>
      <c r="O12">
        <v>21.843141166988001</v>
      </c>
      <c r="P12">
        <v>21.8519260419998</v>
      </c>
      <c r="Q12">
        <v>22.838906332995901</v>
      </c>
      <c r="R12">
        <v>22.8445110000029</v>
      </c>
      <c r="S12">
        <v>23.541432291996799</v>
      </c>
      <c r="T12">
        <v>4</v>
      </c>
      <c r="U12" t="s">
        <v>32</v>
      </c>
      <c r="V12">
        <v>0</v>
      </c>
      <c r="W12">
        <v>0.692668583011254</v>
      </c>
      <c r="X12" t="s">
        <v>33</v>
      </c>
      <c r="Y12">
        <v>328931</v>
      </c>
      <c r="Z12">
        <v>1</v>
      </c>
      <c r="AA12" t="s">
        <v>34</v>
      </c>
      <c r="AB12" t="s">
        <v>35</v>
      </c>
      <c r="AD12" t="s">
        <v>36</v>
      </c>
      <c r="AE12" t="s">
        <v>33</v>
      </c>
      <c r="AF12" t="s">
        <v>37</v>
      </c>
    </row>
    <row r="13" spans="1:32" x14ac:dyDescent="0.2">
      <c r="A13">
        <v>11</v>
      </c>
      <c r="B13">
        <v>0</v>
      </c>
      <c r="C13">
        <v>11</v>
      </c>
      <c r="D13">
        <v>0</v>
      </c>
      <c r="E13" t="s">
        <v>32</v>
      </c>
      <c r="F13">
        <v>1</v>
      </c>
      <c r="G13">
        <v>1.1373129990242801</v>
      </c>
      <c r="H13" t="s">
        <v>33</v>
      </c>
      <c r="I13">
        <v>11</v>
      </c>
      <c r="J13">
        <v>0</v>
      </c>
      <c r="K13">
        <v>11</v>
      </c>
      <c r="L13">
        <v>0</v>
      </c>
      <c r="M13">
        <v>23.551276666985299</v>
      </c>
      <c r="O13">
        <v>23.542200708005101</v>
      </c>
      <c r="P13">
        <v>23.551276666985299</v>
      </c>
      <c r="Q13">
        <v>24.539321207994298</v>
      </c>
      <c r="R13">
        <v>24.5441735420026</v>
      </c>
      <c r="S13">
        <v>25.678893042000698</v>
      </c>
      <c r="T13">
        <v>0</v>
      </c>
      <c r="U13" t="s">
        <v>32</v>
      </c>
      <c r="V13">
        <v>1</v>
      </c>
      <c r="W13">
        <v>1.1373129990242801</v>
      </c>
      <c r="X13" t="s">
        <v>33</v>
      </c>
      <c r="Y13">
        <v>328931</v>
      </c>
      <c r="Z13">
        <v>1</v>
      </c>
      <c r="AA13" t="s">
        <v>34</v>
      </c>
      <c r="AB13" t="s">
        <v>35</v>
      </c>
      <c r="AD13" t="s">
        <v>36</v>
      </c>
      <c r="AE13" t="s">
        <v>33</v>
      </c>
      <c r="AF13" t="s">
        <v>37</v>
      </c>
    </row>
    <row r="14" spans="1:32" x14ac:dyDescent="0.2">
      <c r="A14">
        <v>12</v>
      </c>
      <c r="B14">
        <v>0</v>
      </c>
      <c r="C14">
        <v>12</v>
      </c>
      <c r="D14">
        <v>0</v>
      </c>
      <c r="E14" t="s">
        <v>38</v>
      </c>
      <c r="F14">
        <v>0</v>
      </c>
      <c r="G14">
        <v>0.67780391598353096</v>
      </c>
      <c r="H14" t="s">
        <v>33</v>
      </c>
      <c r="I14">
        <v>12</v>
      </c>
      <c r="J14">
        <v>0</v>
      </c>
      <c r="K14">
        <v>12</v>
      </c>
      <c r="L14">
        <v>0</v>
      </c>
      <c r="M14">
        <v>25.688748207991001</v>
      </c>
      <c r="O14">
        <v>25.679262166988298</v>
      </c>
      <c r="P14">
        <v>25.688748207991001</v>
      </c>
      <c r="Q14">
        <v>26.672736874985201</v>
      </c>
      <c r="R14">
        <v>26.6772935419867</v>
      </c>
      <c r="S14">
        <v>27.357829416985599</v>
      </c>
      <c r="T14">
        <v>0</v>
      </c>
      <c r="U14" t="s">
        <v>38</v>
      </c>
      <c r="V14">
        <v>0</v>
      </c>
      <c r="W14">
        <v>0.67780391598353096</v>
      </c>
      <c r="X14" t="s">
        <v>33</v>
      </c>
      <c r="Y14">
        <v>328931</v>
      </c>
      <c r="Z14">
        <v>1</v>
      </c>
      <c r="AA14" t="s">
        <v>34</v>
      </c>
      <c r="AB14" t="s">
        <v>35</v>
      </c>
      <c r="AD14" t="s">
        <v>36</v>
      </c>
      <c r="AE14" t="s">
        <v>33</v>
      </c>
      <c r="AF14" t="s">
        <v>37</v>
      </c>
    </row>
    <row r="15" spans="1:32" x14ac:dyDescent="0.2">
      <c r="A15">
        <v>13</v>
      </c>
      <c r="B15">
        <v>0</v>
      </c>
      <c r="C15">
        <v>13</v>
      </c>
      <c r="D15">
        <v>1</v>
      </c>
      <c r="E15" t="s">
        <v>38</v>
      </c>
      <c r="F15">
        <v>1</v>
      </c>
      <c r="G15">
        <v>0.57435725000686899</v>
      </c>
      <c r="H15" t="s">
        <v>33</v>
      </c>
      <c r="I15">
        <v>13</v>
      </c>
      <c r="J15">
        <v>0</v>
      </c>
      <c r="K15">
        <v>13</v>
      </c>
      <c r="L15">
        <v>0</v>
      </c>
      <c r="M15">
        <v>27.3675932500045</v>
      </c>
      <c r="O15">
        <v>27.358433457993598</v>
      </c>
      <c r="P15">
        <v>27.3675932500045</v>
      </c>
      <c r="Q15">
        <v>28.356077791977398</v>
      </c>
      <c r="R15">
        <v>28.3617228329821</v>
      </c>
      <c r="S15">
        <v>28.941577999998099</v>
      </c>
      <c r="T15">
        <v>1</v>
      </c>
      <c r="U15" t="s">
        <v>38</v>
      </c>
      <c r="V15">
        <v>1</v>
      </c>
      <c r="W15">
        <v>0.57435725000686899</v>
      </c>
      <c r="X15" t="s">
        <v>33</v>
      </c>
      <c r="Y15">
        <v>328931</v>
      </c>
      <c r="Z15">
        <v>1</v>
      </c>
      <c r="AA15" t="s">
        <v>34</v>
      </c>
      <c r="AB15" t="s">
        <v>35</v>
      </c>
      <c r="AD15" t="s">
        <v>36</v>
      </c>
      <c r="AE15" t="s">
        <v>33</v>
      </c>
      <c r="AF15" t="s">
        <v>37</v>
      </c>
    </row>
    <row r="16" spans="1:32" x14ac:dyDescent="0.2">
      <c r="A16">
        <v>14</v>
      </c>
      <c r="B16">
        <v>0</v>
      </c>
      <c r="C16">
        <v>14</v>
      </c>
      <c r="D16">
        <v>1</v>
      </c>
      <c r="E16" t="s">
        <v>38</v>
      </c>
      <c r="F16">
        <v>1</v>
      </c>
      <c r="G16">
        <v>0.82385687401983798</v>
      </c>
      <c r="H16" t="s">
        <v>33</v>
      </c>
      <c r="I16">
        <v>14</v>
      </c>
      <c r="J16">
        <v>0</v>
      </c>
      <c r="K16">
        <v>14</v>
      </c>
      <c r="L16">
        <v>0</v>
      </c>
      <c r="M16">
        <v>28.9516336249944</v>
      </c>
      <c r="O16">
        <v>28.942497249983699</v>
      </c>
      <c r="P16">
        <v>28.9516336249944</v>
      </c>
      <c r="Q16">
        <v>29.939534582983399</v>
      </c>
      <c r="R16">
        <v>29.945561749976999</v>
      </c>
      <c r="S16">
        <v>30.7750768330006</v>
      </c>
      <c r="T16">
        <v>1</v>
      </c>
      <c r="U16" t="s">
        <v>38</v>
      </c>
      <c r="V16">
        <v>1</v>
      </c>
      <c r="W16">
        <v>0.82385687401983798</v>
      </c>
      <c r="X16" t="s">
        <v>33</v>
      </c>
      <c r="Y16">
        <v>328931</v>
      </c>
      <c r="Z16">
        <v>1</v>
      </c>
      <c r="AA16" t="s">
        <v>34</v>
      </c>
      <c r="AB16" t="s">
        <v>35</v>
      </c>
      <c r="AD16" t="s">
        <v>36</v>
      </c>
      <c r="AE16" t="s">
        <v>33</v>
      </c>
      <c r="AF16" t="s">
        <v>37</v>
      </c>
    </row>
    <row r="17" spans="1:32" x14ac:dyDescent="0.2">
      <c r="A17">
        <v>15</v>
      </c>
      <c r="B17">
        <v>0</v>
      </c>
      <c r="C17">
        <v>15</v>
      </c>
      <c r="D17">
        <v>0</v>
      </c>
      <c r="E17" t="s">
        <v>32</v>
      </c>
      <c r="F17">
        <v>1</v>
      </c>
      <c r="G17">
        <v>0.92978516698349201</v>
      </c>
      <c r="H17" t="s">
        <v>33</v>
      </c>
      <c r="I17">
        <v>15</v>
      </c>
      <c r="J17">
        <v>0</v>
      </c>
      <c r="K17">
        <v>15</v>
      </c>
      <c r="L17">
        <v>0</v>
      </c>
      <c r="M17">
        <v>30.784957875002799</v>
      </c>
      <c r="O17">
        <v>30.7758814169792</v>
      </c>
      <c r="P17">
        <v>30.784957875002799</v>
      </c>
      <c r="Q17">
        <v>31.772743624984201</v>
      </c>
      <c r="R17">
        <v>31.777509541978301</v>
      </c>
      <c r="S17">
        <v>32.708222499990299</v>
      </c>
      <c r="T17">
        <v>0</v>
      </c>
      <c r="U17" t="s">
        <v>32</v>
      </c>
      <c r="V17">
        <v>1</v>
      </c>
      <c r="W17">
        <v>0.92978516698349201</v>
      </c>
      <c r="X17" t="s">
        <v>33</v>
      </c>
      <c r="Y17">
        <v>328931</v>
      </c>
      <c r="Z17">
        <v>1</v>
      </c>
      <c r="AA17" t="s">
        <v>34</v>
      </c>
      <c r="AB17" t="s">
        <v>35</v>
      </c>
      <c r="AD17" t="s">
        <v>36</v>
      </c>
      <c r="AE17" t="s">
        <v>33</v>
      </c>
      <c r="AF17" t="s">
        <v>37</v>
      </c>
    </row>
    <row r="18" spans="1:32" x14ac:dyDescent="0.2">
      <c r="A18">
        <v>16</v>
      </c>
      <c r="B18">
        <v>0</v>
      </c>
      <c r="C18">
        <v>16</v>
      </c>
      <c r="D18">
        <v>-3</v>
      </c>
      <c r="E18" t="s">
        <v>32</v>
      </c>
      <c r="F18">
        <v>0</v>
      </c>
      <c r="G18">
        <v>0.90969229201436896</v>
      </c>
      <c r="H18" t="s">
        <v>33</v>
      </c>
      <c r="I18">
        <v>16</v>
      </c>
      <c r="J18">
        <v>0</v>
      </c>
      <c r="K18">
        <v>16</v>
      </c>
      <c r="L18">
        <v>0</v>
      </c>
      <c r="M18">
        <v>32.718390207999597</v>
      </c>
      <c r="O18">
        <v>32.709081666980602</v>
      </c>
      <c r="P18">
        <v>32.718390207999597</v>
      </c>
      <c r="Q18">
        <v>33.705755207978598</v>
      </c>
      <c r="R18">
        <v>33.7114149580011</v>
      </c>
      <c r="S18">
        <v>34.624979166983302</v>
      </c>
      <c r="T18">
        <v>-3</v>
      </c>
      <c r="U18" t="s">
        <v>32</v>
      </c>
      <c r="V18">
        <v>0</v>
      </c>
      <c r="W18">
        <v>0.90969229201436896</v>
      </c>
      <c r="X18" t="s">
        <v>33</v>
      </c>
      <c r="Y18">
        <v>328931</v>
      </c>
      <c r="Z18">
        <v>1</v>
      </c>
      <c r="AA18" t="s">
        <v>34</v>
      </c>
      <c r="AB18" t="s">
        <v>35</v>
      </c>
      <c r="AD18" t="s">
        <v>36</v>
      </c>
      <c r="AE18" t="s">
        <v>33</v>
      </c>
      <c r="AF18" t="s">
        <v>37</v>
      </c>
    </row>
    <row r="19" spans="1:32" x14ac:dyDescent="0.2">
      <c r="A19">
        <v>17</v>
      </c>
      <c r="B19">
        <v>0</v>
      </c>
      <c r="C19">
        <v>17</v>
      </c>
      <c r="D19">
        <v>0</v>
      </c>
      <c r="E19" t="s">
        <v>32</v>
      </c>
      <c r="F19">
        <v>1</v>
      </c>
      <c r="G19">
        <v>0.73669941700063601</v>
      </c>
      <c r="H19" t="s">
        <v>33</v>
      </c>
      <c r="I19">
        <v>17</v>
      </c>
      <c r="J19">
        <v>0</v>
      </c>
      <c r="K19">
        <v>17</v>
      </c>
      <c r="L19">
        <v>0</v>
      </c>
      <c r="M19">
        <v>34.634988999983698</v>
      </c>
      <c r="O19">
        <v>34.6257554579933</v>
      </c>
      <c r="P19">
        <v>34.634988999983698</v>
      </c>
      <c r="Q19">
        <v>35.6226711669878</v>
      </c>
      <c r="R19">
        <v>35.628366707998701</v>
      </c>
      <c r="S19">
        <v>36.362319791980497</v>
      </c>
      <c r="T19">
        <v>0</v>
      </c>
      <c r="U19" t="s">
        <v>32</v>
      </c>
      <c r="V19">
        <v>1</v>
      </c>
      <c r="W19">
        <v>0.73669941700063601</v>
      </c>
      <c r="X19" t="s">
        <v>33</v>
      </c>
      <c r="Y19">
        <v>328931</v>
      </c>
      <c r="Z19">
        <v>1</v>
      </c>
      <c r="AA19" t="s">
        <v>34</v>
      </c>
      <c r="AB19" t="s">
        <v>35</v>
      </c>
      <c r="AD19" t="s">
        <v>36</v>
      </c>
      <c r="AE19" t="s">
        <v>33</v>
      </c>
      <c r="AF19" t="s">
        <v>37</v>
      </c>
    </row>
    <row r="20" spans="1:32" x14ac:dyDescent="0.2">
      <c r="A20">
        <v>18</v>
      </c>
      <c r="B20">
        <v>0</v>
      </c>
      <c r="C20">
        <v>18</v>
      </c>
      <c r="D20">
        <v>0</v>
      </c>
      <c r="E20" t="s">
        <v>32</v>
      </c>
      <c r="F20">
        <v>1</v>
      </c>
      <c r="G20">
        <v>1.44996404100675</v>
      </c>
      <c r="H20" t="s">
        <v>33</v>
      </c>
      <c r="I20">
        <v>18</v>
      </c>
      <c r="J20">
        <v>0</v>
      </c>
      <c r="K20">
        <v>18</v>
      </c>
      <c r="L20">
        <v>0</v>
      </c>
      <c r="M20">
        <v>36.371600624988702</v>
      </c>
      <c r="O20">
        <v>36.362704957980803</v>
      </c>
      <c r="P20">
        <v>36.371600624988702</v>
      </c>
      <c r="Q20">
        <v>37.3562657919828</v>
      </c>
      <c r="R20">
        <v>37.362355041987001</v>
      </c>
      <c r="S20">
        <v>38.808049499988499</v>
      </c>
      <c r="T20">
        <v>0</v>
      </c>
      <c r="U20" t="s">
        <v>32</v>
      </c>
      <c r="V20">
        <v>1</v>
      </c>
      <c r="W20">
        <v>1.44996404100675</v>
      </c>
      <c r="X20" t="s">
        <v>33</v>
      </c>
      <c r="Y20">
        <v>328931</v>
      </c>
      <c r="Z20">
        <v>1</v>
      </c>
      <c r="AA20" t="s">
        <v>34</v>
      </c>
      <c r="AB20" t="s">
        <v>35</v>
      </c>
      <c r="AD20" t="s">
        <v>36</v>
      </c>
      <c r="AE20" t="s">
        <v>33</v>
      </c>
      <c r="AF20" t="s">
        <v>37</v>
      </c>
    </row>
    <row r="21" spans="1:32" x14ac:dyDescent="0.2">
      <c r="A21">
        <v>19</v>
      </c>
      <c r="B21">
        <v>0</v>
      </c>
      <c r="C21">
        <v>19</v>
      </c>
      <c r="D21">
        <v>0</v>
      </c>
      <c r="E21" t="s">
        <v>32</v>
      </c>
      <c r="F21">
        <v>1</v>
      </c>
      <c r="G21">
        <v>1.4952538330107901</v>
      </c>
      <c r="H21" t="s">
        <v>33</v>
      </c>
      <c r="I21">
        <v>19</v>
      </c>
      <c r="J21">
        <v>0</v>
      </c>
      <c r="K21">
        <v>19</v>
      </c>
      <c r="L21">
        <v>0</v>
      </c>
      <c r="M21">
        <v>38.814577499986598</v>
      </c>
      <c r="O21">
        <v>38.808851707988602</v>
      </c>
      <c r="P21">
        <v>38.814577499986598</v>
      </c>
      <c r="Q21">
        <v>39.805924791988197</v>
      </c>
      <c r="R21">
        <v>39.811517333000602</v>
      </c>
      <c r="S21">
        <v>41.308230791997602</v>
      </c>
      <c r="T21">
        <v>0</v>
      </c>
      <c r="U21" t="s">
        <v>32</v>
      </c>
      <c r="V21">
        <v>1</v>
      </c>
      <c r="W21">
        <v>1.4952538330107901</v>
      </c>
      <c r="X21" t="s">
        <v>33</v>
      </c>
      <c r="Y21">
        <v>328931</v>
      </c>
      <c r="Z21">
        <v>1</v>
      </c>
      <c r="AA21" t="s">
        <v>34</v>
      </c>
      <c r="AB21" t="s">
        <v>35</v>
      </c>
      <c r="AD21" t="s">
        <v>36</v>
      </c>
      <c r="AE21" t="s">
        <v>33</v>
      </c>
      <c r="AF21" t="s">
        <v>37</v>
      </c>
    </row>
    <row r="22" spans="1:32" x14ac:dyDescent="0.2">
      <c r="A22">
        <v>20</v>
      </c>
      <c r="B22">
        <v>0</v>
      </c>
      <c r="C22">
        <v>20</v>
      </c>
      <c r="D22">
        <v>0</v>
      </c>
      <c r="E22" t="s">
        <v>38</v>
      </c>
      <c r="F22">
        <v>0</v>
      </c>
      <c r="G22">
        <v>0.90118349998374403</v>
      </c>
      <c r="H22" t="s">
        <v>33</v>
      </c>
      <c r="I22">
        <v>20</v>
      </c>
      <c r="J22">
        <v>0</v>
      </c>
      <c r="K22">
        <v>20</v>
      </c>
      <c r="L22">
        <v>0</v>
      </c>
      <c r="M22">
        <v>41.318322292005099</v>
      </c>
      <c r="O22">
        <v>41.308990457997403</v>
      </c>
      <c r="P22">
        <v>41.318322292005099</v>
      </c>
      <c r="Q22">
        <v>42.306063916999797</v>
      </c>
      <c r="R22">
        <v>42.312364082987102</v>
      </c>
      <c r="S22">
        <v>43.212123292003497</v>
      </c>
      <c r="T22">
        <v>0</v>
      </c>
      <c r="U22" t="s">
        <v>38</v>
      </c>
      <c r="V22">
        <v>0</v>
      </c>
      <c r="W22">
        <v>0.90118349998374403</v>
      </c>
      <c r="X22" t="s">
        <v>33</v>
      </c>
      <c r="Y22">
        <v>328931</v>
      </c>
      <c r="Z22">
        <v>1</v>
      </c>
      <c r="AA22" t="s">
        <v>34</v>
      </c>
      <c r="AB22" t="s">
        <v>35</v>
      </c>
      <c r="AD22" t="s">
        <v>36</v>
      </c>
      <c r="AE22" t="s">
        <v>33</v>
      </c>
      <c r="AF22" t="s">
        <v>37</v>
      </c>
    </row>
    <row r="23" spans="1:32" x14ac:dyDescent="0.2">
      <c r="A23">
        <v>21</v>
      </c>
      <c r="B23">
        <v>0</v>
      </c>
      <c r="C23">
        <v>21</v>
      </c>
      <c r="D23">
        <v>-2</v>
      </c>
      <c r="E23" t="s">
        <v>32</v>
      </c>
      <c r="F23">
        <v>0</v>
      </c>
      <c r="G23">
        <v>1.05803337399265</v>
      </c>
      <c r="H23" t="s">
        <v>33</v>
      </c>
      <c r="I23">
        <v>21</v>
      </c>
      <c r="J23">
        <v>0</v>
      </c>
      <c r="K23">
        <v>21</v>
      </c>
      <c r="L23">
        <v>0</v>
      </c>
      <c r="M23">
        <v>43.2214620419836</v>
      </c>
      <c r="O23">
        <v>43.212556332989998</v>
      </c>
      <c r="P23">
        <v>43.2214620419836</v>
      </c>
      <c r="Q23">
        <v>44.206141417002002</v>
      </c>
      <c r="R23">
        <v>44.212483249983002</v>
      </c>
      <c r="S23">
        <v>45.274411999998797</v>
      </c>
      <c r="T23">
        <v>-2</v>
      </c>
      <c r="U23" t="s">
        <v>32</v>
      </c>
      <c r="V23">
        <v>0</v>
      </c>
      <c r="W23">
        <v>1.05803337399265</v>
      </c>
      <c r="X23" t="s">
        <v>33</v>
      </c>
      <c r="Y23">
        <v>328931</v>
      </c>
      <c r="Z23">
        <v>1</v>
      </c>
      <c r="AA23" t="s">
        <v>34</v>
      </c>
      <c r="AB23" t="s">
        <v>35</v>
      </c>
      <c r="AD23" t="s">
        <v>36</v>
      </c>
      <c r="AE23" t="s">
        <v>33</v>
      </c>
      <c r="AF23" t="s">
        <v>37</v>
      </c>
    </row>
    <row r="24" spans="1:32" x14ac:dyDescent="0.2">
      <c r="A24">
        <v>22</v>
      </c>
      <c r="B24">
        <v>0</v>
      </c>
      <c r="C24">
        <v>22</v>
      </c>
      <c r="D24">
        <v>0</v>
      </c>
      <c r="E24" t="s">
        <v>38</v>
      </c>
      <c r="F24">
        <v>0</v>
      </c>
      <c r="G24">
        <v>1.0803265830036199</v>
      </c>
      <c r="H24" t="s">
        <v>33</v>
      </c>
      <c r="I24">
        <v>22</v>
      </c>
      <c r="J24">
        <v>0</v>
      </c>
      <c r="K24">
        <v>22</v>
      </c>
      <c r="L24">
        <v>0</v>
      </c>
      <c r="M24">
        <v>45.2842105829913</v>
      </c>
      <c r="O24">
        <v>45.274943957978302</v>
      </c>
      <c r="P24">
        <v>45.2842105829913</v>
      </c>
      <c r="Q24">
        <v>46.2727706669829</v>
      </c>
      <c r="R24">
        <v>46.278360707976297</v>
      </c>
      <c r="S24">
        <v>47.358175582980003</v>
      </c>
      <c r="T24">
        <v>0</v>
      </c>
      <c r="U24" t="s">
        <v>38</v>
      </c>
      <c r="V24">
        <v>0</v>
      </c>
      <c r="W24">
        <v>1.0803265830036199</v>
      </c>
      <c r="X24" t="s">
        <v>33</v>
      </c>
      <c r="Y24">
        <v>328931</v>
      </c>
      <c r="Z24">
        <v>1</v>
      </c>
      <c r="AA24" t="s">
        <v>34</v>
      </c>
      <c r="AB24" t="s">
        <v>35</v>
      </c>
      <c r="AD24" t="s">
        <v>36</v>
      </c>
      <c r="AE24" t="s">
        <v>33</v>
      </c>
      <c r="AF24" t="s">
        <v>37</v>
      </c>
    </row>
    <row r="25" spans="1:32" x14ac:dyDescent="0.2">
      <c r="A25">
        <v>23</v>
      </c>
      <c r="B25">
        <v>0</v>
      </c>
      <c r="C25">
        <v>23</v>
      </c>
      <c r="D25">
        <v>4</v>
      </c>
      <c r="E25" t="s">
        <v>32</v>
      </c>
      <c r="F25">
        <v>0</v>
      </c>
      <c r="G25">
        <v>0.78304025001125399</v>
      </c>
      <c r="H25" t="s">
        <v>33</v>
      </c>
      <c r="I25">
        <v>23</v>
      </c>
      <c r="J25">
        <v>0</v>
      </c>
      <c r="K25">
        <v>23</v>
      </c>
      <c r="L25">
        <v>0</v>
      </c>
      <c r="M25">
        <v>47.368530541978501</v>
      </c>
      <c r="O25">
        <v>47.359107208001603</v>
      </c>
      <c r="P25">
        <v>47.368530541978501</v>
      </c>
      <c r="Q25">
        <v>48.356065457977799</v>
      </c>
      <c r="R25">
        <v>48.360918582999098</v>
      </c>
      <c r="S25">
        <v>49.141671833000103</v>
      </c>
      <c r="T25">
        <v>4</v>
      </c>
      <c r="U25" t="s">
        <v>32</v>
      </c>
      <c r="V25">
        <v>0</v>
      </c>
      <c r="W25">
        <v>0.78304025001125399</v>
      </c>
      <c r="X25" t="s">
        <v>33</v>
      </c>
      <c r="Y25">
        <v>328931</v>
      </c>
      <c r="Z25">
        <v>1</v>
      </c>
      <c r="AA25" t="s">
        <v>34</v>
      </c>
      <c r="AB25" t="s">
        <v>35</v>
      </c>
      <c r="AD25" t="s">
        <v>36</v>
      </c>
      <c r="AE25" t="s">
        <v>33</v>
      </c>
      <c r="AF25" t="s">
        <v>37</v>
      </c>
    </row>
    <row r="26" spans="1:32" x14ac:dyDescent="0.2">
      <c r="A26">
        <v>24</v>
      </c>
      <c r="B26">
        <v>0</v>
      </c>
      <c r="C26">
        <v>24</v>
      </c>
      <c r="D26">
        <v>3</v>
      </c>
      <c r="E26" t="s">
        <v>32</v>
      </c>
      <c r="F26">
        <v>0</v>
      </c>
      <c r="G26">
        <v>0.94653770799050096</v>
      </c>
      <c r="H26" t="s">
        <v>33</v>
      </c>
      <c r="I26">
        <v>24</v>
      </c>
      <c r="J26">
        <v>0</v>
      </c>
      <c r="K26">
        <v>24</v>
      </c>
      <c r="L26">
        <v>0</v>
      </c>
      <c r="M26">
        <v>49.151862208003799</v>
      </c>
      <c r="O26">
        <v>49.142560791980898</v>
      </c>
      <c r="P26">
        <v>49.151862208003799</v>
      </c>
      <c r="Q26">
        <v>50.139461582992197</v>
      </c>
      <c r="R26">
        <v>50.145330500003098</v>
      </c>
      <c r="S26">
        <v>51.091749499988502</v>
      </c>
      <c r="T26">
        <v>3</v>
      </c>
      <c r="U26" t="s">
        <v>32</v>
      </c>
      <c r="V26">
        <v>0</v>
      </c>
      <c r="W26">
        <v>0.94653770799050096</v>
      </c>
      <c r="X26" t="s">
        <v>33</v>
      </c>
      <c r="Y26">
        <v>328931</v>
      </c>
      <c r="Z26">
        <v>1</v>
      </c>
      <c r="AA26" t="s">
        <v>34</v>
      </c>
      <c r="AB26" t="s">
        <v>35</v>
      </c>
      <c r="AD26" t="s">
        <v>36</v>
      </c>
      <c r="AE26" t="s">
        <v>33</v>
      </c>
      <c r="AF26" t="s">
        <v>37</v>
      </c>
    </row>
    <row r="27" spans="1:32" x14ac:dyDescent="0.2">
      <c r="A27">
        <v>25</v>
      </c>
      <c r="B27">
        <v>0</v>
      </c>
      <c r="C27">
        <v>25</v>
      </c>
      <c r="D27">
        <v>0</v>
      </c>
      <c r="E27" t="s">
        <v>38</v>
      </c>
      <c r="F27">
        <v>0</v>
      </c>
      <c r="G27">
        <v>0.93357416600338095</v>
      </c>
      <c r="H27" t="s">
        <v>33</v>
      </c>
      <c r="I27">
        <v>25</v>
      </c>
      <c r="J27">
        <v>0</v>
      </c>
      <c r="K27">
        <v>25</v>
      </c>
      <c r="L27">
        <v>0</v>
      </c>
      <c r="M27">
        <v>51.1018331249943</v>
      </c>
      <c r="O27">
        <v>51.092329916980802</v>
      </c>
      <c r="P27">
        <v>51.1018331249943</v>
      </c>
      <c r="Q27">
        <v>52.089406332990599</v>
      </c>
      <c r="R27">
        <v>52.095198875002097</v>
      </c>
      <c r="S27">
        <v>53.029358749976303</v>
      </c>
      <c r="T27">
        <v>0</v>
      </c>
      <c r="U27" t="s">
        <v>38</v>
      </c>
      <c r="V27">
        <v>0</v>
      </c>
      <c r="W27">
        <v>0.93357416600338095</v>
      </c>
      <c r="X27" t="s">
        <v>33</v>
      </c>
      <c r="Y27">
        <v>328931</v>
      </c>
      <c r="Z27">
        <v>1</v>
      </c>
      <c r="AA27" t="s">
        <v>34</v>
      </c>
      <c r="AB27" t="s">
        <v>35</v>
      </c>
      <c r="AD27" t="s">
        <v>36</v>
      </c>
      <c r="AE27" t="s">
        <v>33</v>
      </c>
      <c r="AF27" t="s">
        <v>37</v>
      </c>
    </row>
    <row r="28" spans="1:32" x14ac:dyDescent="0.2">
      <c r="A28">
        <v>26</v>
      </c>
      <c r="B28">
        <v>0</v>
      </c>
      <c r="C28">
        <v>26</v>
      </c>
      <c r="D28">
        <v>0</v>
      </c>
      <c r="E28" t="s">
        <v>32</v>
      </c>
      <c r="F28">
        <v>1</v>
      </c>
      <c r="G28">
        <v>0.95431612498941798</v>
      </c>
      <c r="H28" t="s">
        <v>33</v>
      </c>
      <c r="I28">
        <v>26</v>
      </c>
      <c r="J28">
        <v>0</v>
      </c>
      <c r="K28">
        <v>26</v>
      </c>
      <c r="L28">
        <v>0</v>
      </c>
      <c r="M28">
        <v>53.038232958002403</v>
      </c>
      <c r="O28">
        <v>53.029726957989602</v>
      </c>
      <c r="P28">
        <v>53.038232958002403</v>
      </c>
      <c r="Q28">
        <v>54.022704624978303</v>
      </c>
      <c r="R28">
        <v>54.0275122079765</v>
      </c>
      <c r="S28">
        <v>54.979005250002899</v>
      </c>
      <c r="T28">
        <v>0</v>
      </c>
      <c r="U28" t="s">
        <v>32</v>
      </c>
      <c r="V28">
        <v>1</v>
      </c>
      <c r="W28">
        <v>0.95431612498941798</v>
      </c>
      <c r="X28" t="s">
        <v>33</v>
      </c>
      <c r="Y28">
        <v>328931</v>
      </c>
      <c r="Z28">
        <v>1</v>
      </c>
      <c r="AA28" t="s">
        <v>34</v>
      </c>
      <c r="AB28" t="s">
        <v>35</v>
      </c>
      <c r="AD28" t="s">
        <v>36</v>
      </c>
      <c r="AE28" t="s">
        <v>33</v>
      </c>
      <c r="AF28" t="s">
        <v>37</v>
      </c>
    </row>
    <row r="29" spans="1:32" x14ac:dyDescent="0.2">
      <c r="A29">
        <v>27</v>
      </c>
      <c r="B29">
        <v>0</v>
      </c>
      <c r="C29">
        <v>27</v>
      </c>
      <c r="D29">
        <v>4</v>
      </c>
      <c r="E29" t="s">
        <v>32</v>
      </c>
      <c r="F29">
        <v>0</v>
      </c>
      <c r="G29">
        <v>0.67652837399509702</v>
      </c>
      <c r="H29" t="s">
        <v>33</v>
      </c>
      <c r="I29">
        <v>27</v>
      </c>
      <c r="J29">
        <v>0</v>
      </c>
      <c r="K29">
        <v>27</v>
      </c>
      <c r="L29">
        <v>0</v>
      </c>
      <c r="M29">
        <v>54.989214041997897</v>
      </c>
      <c r="O29">
        <v>54.979739041998897</v>
      </c>
      <c r="P29">
        <v>54.989214041997897</v>
      </c>
      <c r="Q29">
        <v>55.972399541991699</v>
      </c>
      <c r="R29">
        <v>55.978660499997197</v>
      </c>
      <c r="S29">
        <v>56.658068124990599</v>
      </c>
      <c r="T29">
        <v>4</v>
      </c>
      <c r="U29" t="s">
        <v>32</v>
      </c>
      <c r="V29">
        <v>0</v>
      </c>
      <c r="W29">
        <v>0.67652837399509702</v>
      </c>
      <c r="X29" t="s">
        <v>33</v>
      </c>
      <c r="Y29">
        <v>328931</v>
      </c>
      <c r="Z29">
        <v>1</v>
      </c>
      <c r="AA29" t="s">
        <v>34</v>
      </c>
      <c r="AB29" t="s">
        <v>35</v>
      </c>
      <c r="AD29" t="s">
        <v>36</v>
      </c>
      <c r="AE29" t="s">
        <v>33</v>
      </c>
      <c r="AF29" t="s">
        <v>37</v>
      </c>
    </row>
    <row r="30" spans="1:32" x14ac:dyDescent="0.2">
      <c r="A30">
        <v>28</v>
      </c>
      <c r="B30">
        <v>0</v>
      </c>
      <c r="C30">
        <v>28</v>
      </c>
      <c r="D30">
        <v>0</v>
      </c>
      <c r="E30" t="s">
        <v>38</v>
      </c>
      <c r="F30">
        <v>0</v>
      </c>
      <c r="G30">
        <v>0.947848165989853</v>
      </c>
      <c r="H30" t="s">
        <v>33</v>
      </c>
      <c r="I30">
        <v>28</v>
      </c>
      <c r="J30">
        <v>0</v>
      </c>
      <c r="K30">
        <v>28</v>
      </c>
      <c r="L30">
        <v>0</v>
      </c>
      <c r="M30">
        <v>56.667783541983198</v>
      </c>
      <c r="O30">
        <v>56.658889207988899</v>
      </c>
      <c r="P30">
        <v>56.667783541983198</v>
      </c>
      <c r="Q30">
        <v>57.655951082997397</v>
      </c>
      <c r="R30">
        <v>57.661193124979</v>
      </c>
      <c r="S30">
        <v>58.608143374993197</v>
      </c>
      <c r="T30">
        <v>0</v>
      </c>
      <c r="U30" t="s">
        <v>38</v>
      </c>
      <c r="V30">
        <v>0</v>
      </c>
      <c r="W30">
        <v>0.947848165989853</v>
      </c>
      <c r="X30" t="s">
        <v>33</v>
      </c>
      <c r="Y30">
        <v>328931</v>
      </c>
      <c r="Z30">
        <v>1</v>
      </c>
      <c r="AA30" t="s">
        <v>34</v>
      </c>
      <c r="AB30" t="s">
        <v>35</v>
      </c>
      <c r="AD30" t="s">
        <v>36</v>
      </c>
      <c r="AE30" t="s">
        <v>33</v>
      </c>
      <c r="AF30" t="s">
        <v>37</v>
      </c>
    </row>
    <row r="31" spans="1:32" x14ac:dyDescent="0.2">
      <c r="A31">
        <v>29</v>
      </c>
      <c r="B31">
        <v>0</v>
      </c>
      <c r="C31">
        <v>29</v>
      </c>
      <c r="D31">
        <v>0</v>
      </c>
      <c r="E31" t="s">
        <v>38</v>
      </c>
      <c r="F31">
        <v>0</v>
      </c>
      <c r="G31">
        <v>0.59188958298182104</v>
      </c>
      <c r="H31" t="s">
        <v>33</v>
      </c>
      <c r="I31">
        <v>29</v>
      </c>
      <c r="J31">
        <v>0</v>
      </c>
      <c r="K31">
        <v>29</v>
      </c>
      <c r="L31">
        <v>0</v>
      </c>
      <c r="M31">
        <v>58.618021707981796</v>
      </c>
      <c r="O31">
        <v>58.608929416979599</v>
      </c>
      <c r="P31">
        <v>58.618021707981796</v>
      </c>
      <c r="Q31">
        <v>59.6059813329775</v>
      </c>
      <c r="R31">
        <v>59.611554624978403</v>
      </c>
      <c r="S31">
        <v>60.207920041983002</v>
      </c>
      <c r="T31">
        <v>0</v>
      </c>
      <c r="U31" t="s">
        <v>38</v>
      </c>
      <c r="V31">
        <v>0</v>
      </c>
      <c r="W31">
        <v>0.59188958298182104</v>
      </c>
      <c r="X31" t="s">
        <v>33</v>
      </c>
      <c r="Y31">
        <v>328931</v>
      </c>
      <c r="Z31">
        <v>1</v>
      </c>
      <c r="AA31" t="s">
        <v>34</v>
      </c>
      <c r="AB31" t="s">
        <v>35</v>
      </c>
      <c r="AD31" t="s">
        <v>36</v>
      </c>
      <c r="AE31" t="s">
        <v>33</v>
      </c>
      <c r="AF31" t="s">
        <v>37</v>
      </c>
    </row>
    <row r="32" spans="1:32" x14ac:dyDescent="0.2">
      <c r="A32">
        <v>30</v>
      </c>
      <c r="B32">
        <v>0</v>
      </c>
      <c r="C32">
        <v>30</v>
      </c>
      <c r="D32">
        <v>0</v>
      </c>
      <c r="E32" t="s">
        <v>38</v>
      </c>
      <c r="F32">
        <v>0</v>
      </c>
      <c r="G32">
        <v>0.68028695799876004</v>
      </c>
      <c r="H32" t="s">
        <v>33</v>
      </c>
      <c r="I32">
        <v>30</v>
      </c>
      <c r="J32">
        <v>0</v>
      </c>
      <c r="K32">
        <v>30</v>
      </c>
      <c r="L32">
        <v>0</v>
      </c>
      <c r="M32">
        <v>60.217509332985998</v>
      </c>
      <c r="O32">
        <v>60.208464416995398</v>
      </c>
      <c r="P32">
        <v>60.217509332985998</v>
      </c>
      <c r="Q32">
        <v>61.205556667002298</v>
      </c>
      <c r="R32">
        <v>61.210204707982399</v>
      </c>
      <c r="S32">
        <v>61.8915995830029</v>
      </c>
      <c r="T32">
        <v>0</v>
      </c>
      <c r="U32" t="s">
        <v>38</v>
      </c>
      <c r="V32">
        <v>0</v>
      </c>
      <c r="W32">
        <v>0.68028695799876004</v>
      </c>
      <c r="X32" t="s">
        <v>33</v>
      </c>
      <c r="Y32">
        <v>328931</v>
      </c>
      <c r="Z32">
        <v>1</v>
      </c>
      <c r="AA32" t="s">
        <v>34</v>
      </c>
      <c r="AB32" t="s">
        <v>35</v>
      </c>
      <c r="AD32" t="s">
        <v>36</v>
      </c>
      <c r="AE32" t="s">
        <v>33</v>
      </c>
      <c r="AF32" t="s">
        <v>37</v>
      </c>
    </row>
    <row r="33" spans="1:32" x14ac:dyDescent="0.2">
      <c r="A33">
        <v>31</v>
      </c>
      <c r="B33">
        <v>0</v>
      </c>
      <c r="C33">
        <v>31</v>
      </c>
      <c r="D33">
        <v>0</v>
      </c>
      <c r="E33" t="s">
        <v>38</v>
      </c>
      <c r="F33">
        <v>0</v>
      </c>
      <c r="G33">
        <v>0.97045049999724098</v>
      </c>
      <c r="H33" t="s">
        <v>33</v>
      </c>
      <c r="I33">
        <v>31</v>
      </c>
      <c r="J33">
        <v>0</v>
      </c>
      <c r="K33">
        <v>31</v>
      </c>
      <c r="L33">
        <v>0</v>
      </c>
      <c r="M33">
        <v>61.901618999981999</v>
      </c>
      <c r="O33">
        <v>61.892401624994797</v>
      </c>
      <c r="P33">
        <v>61.901618999981999</v>
      </c>
      <c r="Q33">
        <v>62.8893322919902</v>
      </c>
      <c r="R33">
        <v>62.8949750419997</v>
      </c>
      <c r="S33">
        <v>63.861319457995698</v>
      </c>
      <c r="T33">
        <v>0</v>
      </c>
      <c r="U33" t="s">
        <v>38</v>
      </c>
      <c r="V33">
        <v>0</v>
      </c>
      <c r="W33">
        <v>0.97045049999724098</v>
      </c>
      <c r="X33" t="s">
        <v>33</v>
      </c>
      <c r="Y33">
        <v>328931</v>
      </c>
      <c r="Z33">
        <v>1</v>
      </c>
      <c r="AA33" t="s">
        <v>34</v>
      </c>
      <c r="AB33" t="s">
        <v>35</v>
      </c>
      <c r="AD33" t="s">
        <v>36</v>
      </c>
      <c r="AE33" t="s">
        <v>33</v>
      </c>
      <c r="AF33" t="s">
        <v>37</v>
      </c>
    </row>
    <row r="34" spans="1:32" x14ac:dyDescent="0.2">
      <c r="A34">
        <v>32</v>
      </c>
      <c r="B34">
        <v>0</v>
      </c>
      <c r="C34">
        <v>32</v>
      </c>
      <c r="D34">
        <v>0</v>
      </c>
      <c r="E34" t="s">
        <v>38</v>
      </c>
      <c r="F34">
        <v>0</v>
      </c>
      <c r="G34">
        <v>0.64067933300975699</v>
      </c>
      <c r="H34" t="s">
        <v>33</v>
      </c>
      <c r="I34">
        <v>32</v>
      </c>
      <c r="J34">
        <v>0</v>
      </c>
      <c r="K34">
        <v>32</v>
      </c>
      <c r="L34">
        <v>0</v>
      </c>
      <c r="M34">
        <v>63.872878291993402</v>
      </c>
      <c r="O34">
        <v>63.861791000002903</v>
      </c>
      <c r="P34">
        <v>63.872878291993402</v>
      </c>
      <c r="Q34">
        <v>64.856105291983098</v>
      </c>
      <c r="R34">
        <v>64.861774624994695</v>
      </c>
      <c r="S34">
        <v>65.508189291984294</v>
      </c>
      <c r="T34">
        <v>0</v>
      </c>
      <c r="U34" t="s">
        <v>38</v>
      </c>
      <c r="V34">
        <v>0</v>
      </c>
      <c r="W34">
        <v>0.64067933300975699</v>
      </c>
      <c r="X34" t="s">
        <v>33</v>
      </c>
      <c r="Y34">
        <v>328931</v>
      </c>
      <c r="Z34">
        <v>1</v>
      </c>
      <c r="AA34" t="s">
        <v>34</v>
      </c>
      <c r="AB34" t="s">
        <v>35</v>
      </c>
      <c r="AD34" t="s">
        <v>36</v>
      </c>
      <c r="AE34" t="s">
        <v>33</v>
      </c>
      <c r="AF34" t="s">
        <v>37</v>
      </c>
    </row>
    <row r="35" spans="1:32" x14ac:dyDescent="0.2">
      <c r="A35">
        <v>33</v>
      </c>
      <c r="B35">
        <v>0</v>
      </c>
      <c r="C35">
        <v>33</v>
      </c>
      <c r="D35">
        <v>1</v>
      </c>
      <c r="E35" t="s">
        <v>32</v>
      </c>
      <c r="F35">
        <v>0</v>
      </c>
      <c r="G35">
        <v>0.82876849899184801</v>
      </c>
      <c r="H35" t="s">
        <v>33</v>
      </c>
      <c r="I35">
        <v>33</v>
      </c>
      <c r="J35">
        <v>0</v>
      </c>
      <c r="K35">
        <v>33</v>
      </c>
      <c r="L35">
        <v>0</v>
      </c>
      <c r="M35">
        <v>65.518120833003195</v>
      </c>
      <c r="O35">
        <v>65.509048207983099</v>
      </c>
      <c r="P35">
        <v>65.518120833003195</v>
      </c>
      <c r="Q35">
        <v>66.505938791990005</v>
      </c>
      <c r="R35">
        <v>66.511550541996201</v>
      </c>
      <c r="S35">
        <v>67.341272958001298</v>
      </c>
      <c r="T35">
        <v>1</v>
      </c>
      <c r="U35" t="s">
        <v>32</v>
      </c>
      <c r="V35">
        <v>0</v>
      </c>
      <c r="W35">
        <v>0.82876849899184801</v>
      </c>
      <c r="X35" t="s">
        <v>33</v>
      </c>
      <c r="Y35">
        <v>328931</v>
      </c>
      <c r="Z35">
        <v>1</v>
      </c>
      <c r="AA35" t="s">
        <v>34</v>
      </c>
      <c r="AB35" t="s">
        <v>35</v>
      </c>
      <c r="AD35" t="s">
        <v>36</v>
      </c>
      <c r="AE35" t="s">
        <v>33</v>
      </c>
      <c r="AF35" t="s">
        <v>37</v>
      </c>
    </row>
    <row r="36" spans="1:32" x14ac:dyDescent="0.2">
      <c r="A36">
        <v>34</v>
      </c>
      <c r="B36">
        <v>0</v>
      </c>
      <c r="C36">
        <v>34</v>
      </c>
      <c r="D36">
        <v>0</v>
      </c>
      <c r="E36" t="s">
        <v>38</v>
      </c>
      <c r="F36">
        <v>0</v>
      </c>
      <c r="G36">
        <v>1.6673061239998701</v>
      </c>
      <c r="H36" t="s">
        <v>33</v>
      </c>
      <c r="I36">
        <v>34</v>
      </c>
      <c r="J36">
        <v>0</v>
      </c>
      <c r="K36">
        <v>34</v>
      </c>
      <c r="L36">
        <v>0</v>
      </c>
      <c r="M36">
        <v>67.351129749993504</v>
      </c>
      <c r="O36">
        <v>67.342039832990807</v>
      </c>
      <c r="P36">
        <v>67.351129749993504</v>
      </c>
      <c r="Q36">
        <v>68.339295916986799</v>
      </c>
      <c r="R36">
        <v>68.343822208000304</v>
      </c>
      <c r="S36">
        <v>70.012562791991499</v>
      </c>
      <c r="T36">
        <v>0</v>
      </c>
      <c r="U36" t="s">
        <v>38</v>
      </c>
      <c r="V36">
        <v>0</v>
      </c>
      <c r="W36">
        <v>1.6673061239998701</v>
      </c>
      <c r="X36" t="s">
        <v>33</v>
      </c>
      <c r="Y36">
        <v>328931</v>
      </c>
      <c r="Z36">
        <v>1</v>
      </c>
      <c r="AA36" t="s">
        <v>34</v>
      </c>
      <c r="AB36" t="s">
        <v>35</v>
      </c>
      <c r="AD36" t="s">
        <v>36</v>
      </c>
      <c r="AE36" t="s">
        <v>33</v>
      </c>
      <c r="AF36" t="s">
        <v>37</v>
      </c>
    </row>
    <row r="37" spans="1:32" x14ac:dyDescent="0.2">
      <c r="A37">
        <v>35</v>
      </c>
      <c r="B37">
        <v>0</v>
      </c>
      <c r="C37">
        <v>35</v>
      </c>
      <c r="D37">
        <v>-4</v>
      </c>
      <c r="E37" t="s">
        <v>32</v>
      </c>
      <c r="F37">
        <v>0</v>
      </c>
      <c r="G37">
        <v>0.75353641601395704</v>
      </c>
      <c r="H37" t="s">
        <v>33</v>
      </c>
      <c r="I37">
        <v>35</v>
      </c>
      <c r="J37">
        <v>0</v>
      </c>
      <c r="K37">
        <v>35</v>
      </c>
      <c r="L37">
        <v>0</v>
      </c>
      <c r="M37">
        <v>70.021816291991797</v>
      </c>
      <c r="O37">
        <v>70.012977457983595</v>
      </c>
      <c r="P37">
        <v>70.021816291991797</v>
      </c>
      <c r="Q37">
        <v>71.013047791988299</v>
      </c>
      <c r="R37">
        <v>71.013047791988299</v>
      </c>
      <c r="S37">
        <v>71.775051374977906</v>
      </c>
      <c r="T37">
        <v>-4</v>
      </c>
      <c r="U37" t="s">
        <v>32</v>
      </c>
      <c r="V37">
        <v>0</v>
      </c>
      <c r="W37">
        <v>0.75353641601395704</v>
      </c>
      <c r="X37" t="s">
        <v>33</v>
      </c>
      <c r="Y37">
        <v>328931</v>
      </c>
      <c r="Z37">
        <v>1</v>
      </c>
      <c r="AA37" t="s">
        <v>34</v>
      </c>
      <c r="AB37" t="s">
        <v>35</v>
      </c>
      <c r="AD37" t="s">
        <v>36</v>
      </c>
      <c r="AE37" t="s">
        <v>33</v>
      </c>
      <c r="AF37" t="s">
        <v>37</v>
      </c>
    </row>
    <row r="38" spans="1:32" x14ac:dyDescent="0.2">
      <c r="A38">
        <v>36</v>
      </c>
      <c r="B38">
        <v>0</v>
      </c>
      <c r="C38">
        <v>36</v>
      </c>
      <c r="D38">
        <v>4</v>
      </c>
      <c r="E38" t="s">
        <v>32</v>
      </c>
      <c r="F38">
        <v>0</v>
      </c>
      <c r="G38">
        <v>0.73498095799004604</v>
      </c>
      <c r="H38" t="s">
        <v>33</v>
      </c>
      <c r="I38">
        <v>36</v>
      </c>
      <c r="J38">
        <v>0</v>
      </c>
      <c r="K38">
        <v>36</v>
      </c>
      <c r="L38">
        <v>0</v>
      </c>
      <c r="M38">
        <v>71.785438124992595</v>
      </c>
      <c r="O38">
        <v>71.775977499986695</v>
      </c>
      <c r="P38">
        <v>71.785438124992595</v>
      </c>
      <c r="Q38">
        <v>72.772506666980902</v>
      </c>
      <c r="R38">
        <v>72.778179707995093</v>
      </c>
      <c r="S38">
        <v>73.5117649169988</v>
      </c>
      <c r="T38">
        <v>4</v>
      </c>
      <c r="U38" t="s">
        <v>32</v>
      </c>
      <c r="V38">
        <v>0</v>
      </c>
      <c r="W38">
        <v>0.73498095799004604</v>
      </c>
      <c r="X38" t="s">
        <v>33</v>
      </c>
      <c r="Y38">
        <v>328931</v>
      </c>
      <c r="Z38">
        <v>1</v>
      </c>
      <c r="AA38" t="s">
        <v>34</v>
      </c>
      <c r="AB38" t="s">
        <v>35</v>
      </c>
      <c r="AD38" t="s">
        <v>36</v>
      </c>
      <c r="AE38" t="s">
        <v>33</v>
      </c>
      <c r="AF38" t="s">
        <v>37</v>
      </c>
    </row>
    <row r="39" spans="1:32" x14ac:dyDescent="0.2">
      <c r="A39">
        <v>37</v>
      </c>
      <c r="B39">
        <v>0</v>
      </c>
      <c r="C39">
        <v>37</v>
      </c>
      <c r="D39">
        <v>-4</v>
      </c>
      <c r="E39" t="s">
        <v>32</v>
      </c>
      <c r="F39">
        <v>0</v>
      </c>
      <c r="G39">
        <v>1.04508495799382</v>
      </c>
      <c r="H39" t="s">
        <v>33</v>
      </c>
      <c r="I39">
        <v>37</v>
      </c>
      <c r="J39">
        <v>0</v>
      </c>
      <c r="K39">
        <v>37</v>
      </c>
      <c r="L39">
        <v>0</v>
      </c>
      <c r="M39">
        <v>73.522315374982995</v>
      </c>
      <c r="O39">
        <v>73.512297832989105</v>
      </c>
      <c r="P39">
        <v>73.522315374982995</v>
      </c>
      <c r="Q39">
        <v>74.506283750000804</v>
      </c>
      <c r="R39">
        <v>74.512418917001895</v>
      </c>
      <c r="S39">
        <v>75.558008916996101</v>
      </c>
      <c r="T39">
        <v>-4</v>
      </c>
      <c r="U39" t="s">
        <v>32</v>
      </c>
      <c r="V39">
        <v>0</v>
      </c>
      <c r="W39">
        <v>1.04508495799382</v>
      </c>
      <c r="X39" t="s">
        <v>33</v>
      </c>
      <c r="Y39">
        <v>328931</v>
      </c>
      <c r="Z39">
        <v>1</v>
      </c>
      <c r="AA39" t="s">
        <v>34</v>
      </c>
      <c r="AB39" t="s">
        <v>35</v>
      </c>
      <c r="AD39" t="s">
        <v>36</v>
      </c>
      <c r="AE39" t="s">
        <v>33</v>
      </c>
      <c r="AF39" t="s">
        <v>37</v>
      </c>
    </row>
    <row r="40" spans="1:32" x14ac:dyDescent="0.2">
      <c r="A40">
        <v>38</v>
      </c>
      <c r="B40">
        <v>0</v>
      </c>
      <c r="C40">
        <v>38</v>
      </c>
      <c r="D40">
        <v>-5</v>
      </c>
      <c r="E40" t="s">
        <v>32</v>
      </c>
      <c r="F40">
        <v>0</v>
      </c>
      <c r="G40">
        <v>0.69825370801845499</v>
      </c>
      <c r="H40" t="s">
        <v>33</v>
      </c>
      <c r="I40">
        <v>38</v>
      </c>
      <c r="J40">
        <v>0</v>
      </c>
      <c r="K40">
        <v>38</v>
      </c>
      <c r="L40">
        <v>0</v>
      </c>
      <c r="M40">
        <v>75.567745874985107</v>
      </c>
      <c r="O40">
        <v>75.558790999988503</v>
      </c>
      <c r="P40">
        <v>75.567745874985107</v>
      </c>
      <c r="Q40">
        <v>76.556167292001106</v>
      </c>
      <c r="R40">
        <v>76.562556374992695</v>
      </c>
      <c r="S40">
        <v>77.258050916978306</v>
      </c>
      <c r="T40">
        <v>-5</v>
      </c>
      <c r="U40" t="s">
        <v>32</v>
      </c>
      <c r="V40">
        <v>0</v>
      </c>
      <c r="W40">
        <v>0.69825370801845499</v>
      </c>
      <c r="X40" t="s">
        <v>33</v>
      </c>
      <c r="Y40">
        <v>328931</v>
      </c>
      <c r="Z40">
        <v>1</v>
      </c>
      <c r="AA40" t="s">
        <v>34</v>
      </c>
      <c r="AB40" t="s">
        <v>35</v>
      </c>
      <c r="AD40" t="s">
        <v>36</v>
      </c>
      <c r="AE40" t="s">
        <v>33</v>
      </c>
      <c r="AF40" t="s">
        <v>37</v>
      </c>
    </row>
    <row r="41" spans="1:32" x14ac:dyDescent="0.2">
      <c r="A41">
        <v>39</v>
      </c>
      <c r="B41">
        <v>0</v>
      </c>
      <c r="C41">
        <v>39</v>
      </c>
      <c r="D41">
        <v>0</v>
      </c>
      <c r="E41" t="s">
        <v>38</v>
      </c>
      <c r="F41">
        <v>0</v>
      </c>
      <c r="G41">
        <v>0.74037883299752105</v>
      </c>
      <c r="H41" t="s">
        <v>33</v>
      </c>
      <c r="I41">
        <v>39</v>
      </c>
      <c r="J41">
        <v>0</v>
      </c>
      <c r="K41">
        <v>39</v>
      </c>
      <c r="L41">
        <v>0</v>
      </c>
      <c r="M41">
        <v>77.268223291990495</v>
      </c>
      <c r="O41">
        <v>77.258686749992194</v>
      </c>
      <c r="P41">
        <v>77.268223291990495</v>
      </c>
      <c r="Q41">
        <v>78.2560128750046</v>
      </c>
      <c r="R41">
        <v>78.262477249983903</v>
      </c>
      <c r="S41">
        <v>79.008109291986301</v>
      </c>
      <c r="T41">
        <v>0</v>
      </c>
      <c r="U41" t="s">
        <v>38</v>
      </c>
      <c r="V41">
        <v>0</v>
      </c>
      <c r="W41">
        <v>0.74037883299752105</v>
      </c>
      <c r="X41" t="s">
        <v>33</v>
      </c>
      <c r="Y41">
        <v>328931</v>
      </c>
      <c r="Z41">
        <v>1</v>
      </c>
      <c r="AA41" t="s">
        <v>34</v>
      </c>
      <c r="AB41" t="s">
        <v>35</v>
      </c>
      <c r="AD41" t="s">
        <v>36</v>
      </c>
      <c r="AE41" t="s">
        <v>33</v>
      </c>
      <c r="AF41" t="s">
        <v>37</v>
      </c>
    </row>
    <row r="42" spans="1:32" x14ac:dyDescent="0.2">
      <c r="A42">
        <v>40</v>
      </c>
      <c r="B42">
        <v>0</v>
      </c>
      <c r="C42">
        <v>40</v>
      </c>
      <c r="D42">
        <v>-4</v>
      </c>
      <c r="E42" t="s">
        <v>32</v>
      </c>
      <c r="F42">
        <v>0</v>
      </c>
      <c r="G42">
        <v>0.82834516599541497</v>
      </c>
      <c r="H42" t="s">
        <v>33</v>
      </c>
      <c r="I42">
        <v>40</v>
      </c>
      <c r="J42">
        <v>0</v>
      </c>
      <c r="K42">
        <v>40</v>
      </c>
      <c r="L42">
        <v>0</v>
      </c>
      <c r="M42">
        <v>79.019020749983596</v>
      </c>
      <c r="O42">
        <v>79.009023499995195</v>
      </c>
      <c r="P42">
        <v>79.019020749983596</v>
      </c>
      <c r="Q42">
        <v>80.006060416984795</v>
      </c>
      <c r="R42">
        <v>80.011727499979301</v>
      </c>
      <c r="S42">
        <v>80.841342083003795</v>
      </c>
      <c r="T42">
        <v>-4</v>
      </c>
      <c r="U42" t="s">
        <v>32</v>
      </c>
      <c r="V42">
        <v>0</v>
      </c>
      <c r="W42">
        <v>0.82834516599541497</v>
      </c>
      <c r="X42" t="s">
        <v>33</v>
      </c>
      <c r="Y42">
        <v>328931</v>
      </c>
      <c r="Z42">
        <v>1</v>
      </c>
      <c r="AA42" t="s">
        <v>34</v>
      </c>
      <c r="AB42" t="s">
        <v>35</v>
      </c>
      <c r="AD42" t="s">
        <v>36</v>
      </c>
      <c r="AE42" t="s">
        <v>33</v>
      </c>
      <c r="AF42" t="s">
        <v>37</v>
      </c>
    </row>
    <row r="43" spans="1:32" x14ac:dyDescent="0.2">
      <c r="A43">
        <v>41</v>
      </c>
      <c r="B43">
        <v>0</v>
      </c>
      <c r="C43">
        <v>41</v>
      </c>
      <c r="D43">
        <v>0</v>
      </c>
      <c r="E43" t="s">
        <v>32</v>
      </c>
      <c r="F43">
        <v>1</v>
      </c>
      <c r="G43">
        <v>0.76504704100079801</v>
      </c>
      <c r="H43" t="s">
        <v>33</v>
      </c>
      <c r="I43">
        <v>41</v>
      </c>
      <c r="J43">
        <v>0</v>
      </c>
      <c r="K43">
        <v>41</v>
      </c>
      <c r="L43">
        <v>0</v>
      </c>
      <c r="M43">
        <v>80.851109582988997</v>
      </c>
      <c r="O43">
        <v>80.842137125000505</v>
      </c>
      <c r="P43">
        <v>80.851109582988997</v>
      </c>
      <c r="Q43">
        <v>81.839272791985394</v>
      </c>
      <c r="R43">
        <v>81.844902957993298</v>
      </c>
      <c r="S43">
        <v>82.607441125001003</v>
      </c>
      <c r="T43">
        <v>0</v>
      </c>
      <c r="U43" t="s">
        <v>32</v>
      </c>
      <c r="V43">
        <v>1</v>
      </c>
      <c r="W43">
        <v>0.76504704100079801</v>
      </c>
      <c r="X43" t="s">
        <v>33</v>
      </c>
      <c r="Y43">
        <v>328931</v>
      </c>
      <c r="Z43">
        <v>1</v>
      </c>
      <c r="AA43" t="s">
        <v>34</v>
      </c>
      <c r="AB43" t="s">
        <v>35</v>
      </c>
      <c r="AD43" t="s">
        <v>36</v>
      </c>
      <c r="AE43" t="s">
        <v>33</v>
      </c>
      <c r="AF43" t="s">
        <v>37</v>
      </c>
    </row>
    <row r="44" spans="1:32" x14ac:dyDescent="0.2">
      <c r="A44">
        <v>42</v>
      </c>
      <c r="B44">
        <v>0</v>
      </c>
      <c r="C44">
        <v>42</v>
      </c>
      <c r="D44">
        <v>0</v>
      </c>
      <c r="E44" t="s">
        <v>38</v>
      </c>
      <c r="F44">
        <v>0</v>
      </c>
      <c r="G44">
        <v>0.92190274898894098</v>
      </c>
      <c r="H44" t="s">
        <v>33</v>
      </c>
      <c r="I44">
        <v>42</v>
      </c>
      <c r="J44">
        <v>0</v>
      </c>
      <c r="K44">
        <v>42</v>
      </c>
      <c r="L44">
        <v>0</v>
      </c>
      <c r="M44">
        <v>82.617595832998603</v>
      </c>
      <c r="O44">
        <v>82.607984832982694</v>
      </c>
      <c r="P44">
        <v>82.617595832998603</v>
      </c>
      <c r="Q44">
        <v>83.605431042000404</v>
      </c>
      <c r="R44">
        <v>83.610137624986194</v>
      </c>
      <c r="S44">
        <v>84.528591749985907</v>
      </c>
      <c r="T44">
        <v>0</v>
      </c>
      <c r="U44" t="s">
        <v>38</v>
      </c>
      <c r="V44">
        <v>0</v>
      </c>
      <c r="W44">
        <v>0.92190274898894098</v>
      </c>
      <c r="X44" t="s">
        <v>33</v>
      </c>
      <c r="Y44">
        <v>328931</v>
      </c>
      <c r="Z44">
        <v>1</v>
      </c>
      <c r="AA44" t="s">
        <v>34</v>
      </c>
      <c r="AB44" t="s">
        <v>35</v>
      </c>
      <c r="AD44" t="s">
        <v>36</v>
      </c>
      <c r="AE44" t="s">
        <v>33</v>
      </c>
      <c r="AF44" t="s">
        <v>37</v>
      </c>
    </row>
    <row r="45" spans="1:32" x14ac:dyDescent="0.2">
      <c r="A45">
        <v>43</v>
      </c>
      <c r="B45">
        <v>0</v>
      </c>
      <c r="C45">
        <v>43</v>
      </c>
      <c r="D45">
        <v>-3</v>
      </c>
      <c r="E45" t="s">
        <v>32</v>
      </c>
      <c r="F45">
        <v>0</v>
      </c>
      <c r="G45">
        <v>0.74742095801047903</v>
      </c>
      <c r="H45" t="s">
        <v>33</v>
      </c>
      <c r="I45">
        <v>43</v>
      </c>
      <c r="J45">
        <v>0</v>
      </c>
      <c r="K45">
        <v>43</v>
      </c>
      <c r="L45">
        <v>0</v>
      </c>
      <c r="M45">
        <v>84.539203291991697</v>
      </c>
      <c r="O45">
        <v>84.528996582987006</v>
      </c>
      <c r="P45">
        <v>84.539203291991697</v>
      </c>
      <c r="Q45">
        <v>85.522838000004398</v>
      </c>
      <c r="R45">
        <v>85.528390749997897</v>
      </c>
      <c r="S45">
        <v>86.274853582988698</v>
      </c>
      <c r="T45">
        <v>-3</v>
      </c>
      <c r="U45" t="s">
        <v>32</v>
      </c>
      <c r="V45">
        <v>0</v>
      </c>
      <c r="W45">
        <v>0.74742095801047903</v>
      </c>
      <c r="X45" t="s">
        <v>33</v>
      </c>
      <c r="Y45">
        <v>328931</v>
      </c>
      <c r="Z45">
        <v>1</v>
      </c>
      <c r="AA45" t="s">
        <v>34</v>
      </c>
      <c r="AB45" t="s">
        <v>35</v>
      </c>
      <c r="AD45" t="s">
        <v>36</v>
      </c>
      <c r="AE45" t="s">
        <v>33</v>
      </c>
      <c r="AF45" t="s">
        <v>37</v>
      </c>
    </row>
    <row r="46" spans="1:32" x14ac:dyDescent="0.2">
      <c r="A46">
        <v>44</v>
      </c>
      <c r="B46">
        <v>0</v>
      </c>
      <c r="C46">
        <v>44</v>
      </c>
      <c r="D46">
        <v>0</v>
      </c>
      <c r="E46" t="s">
        <v>32</v>
      </c>
      <c r="F46">
        <v>1</v>
      </c>
      <c r="G46">
        <v>0.898474666988477</v>
      </c>
      <c r="H46" t="s">
        <v>33</v>
      </c>
      <c r="I46">
        <v>44</v>
      </c>
      <c r="J46">
        <v>0</v>
      </c>
      <c r="K46">
        <v>44</v>
      </c>
      <c r="L46">
        <v>0</v>
      </c>
      <c r="M46">
        <v>86.284603291976893</v>
      </c>
      <c r="O46">
        <v>86.275620332977198</v>
      </c>
      <c r="P46">
        <v>86.284603291976893</v>
      </c>
      <c r="Q46">
        <v>87.272651167004298</v>
      </c>
      <c r="R46">
        <v>87.278460624977001</v>
      </c>
      <c r="S46">
        <v>88.174542458000303</v>
      </c>
      <c r="T46">
        <v>0</v>
      </c>
      <c r="U46" t="s">
        <v>32</v>
      </c>
      <c r="V46">
        <v>1</v>
      </c>
      <c r="W46">
        <v>0.898474666988477</v>
      </c>
      <c r="X46" t="s">
        <v>33</v>
      </c>
      <c r="Y46">
        <v>328931</v>
      </c>
      <c r="Z46">
        <v>1</v>
      </c>
      <c r="AA46" t="s">
        <v>34</v>
      </c>
      <c r="AB46" t="s">
        <v>35</v>
      </c>
      <c r="AD46" t="s">
        <v>36</v>
      </c>
      <c r="AE46" t="s">
        <v>33</v>
      </c>
      <c r="AF46" t="s">
        <v>37</v>
      </c>
    </row>
    <row r="47" spans="1:32" x14ac:dyDescent="0.2">
      <c r="A47">
        <v>45</v>
      </c>
      <c r="B47">
        <v>0</v>
      </c>
      <c r="C47">
        <v>45</v>
      </c>
      <c r="D47">
        <v>0</v>
      </c>
      <c r="E47" t="s">
        <v>38</v>
      </c>
      <c r="F47">
        <v>0</v>
      </c>
      <c r="G47">
        <v>0.99645616702036899</v>
      </c>
      <c r="H47" t="s">
        <v>33</v>
      </c>
      <c r="I47">
        <v>45</v>
      </c>
      <c r="J47">
        <v>0</v>
      </c>
      <c r="K47">
        <v>45</v>
      </c>
      <c r="L47">
        <v>0</v>
      </c>
      <c r="M47">
        <v>88.184296291990904</v>
      </c>
      <c r="O47">
        <v>88.175058124994393</v>
      </c>
      <c r="P47">
        <v>88.184296291990904</v>
      </c>
      <c r="Q47">
        <v>89.172702749987295</v>
      </c>
      <c r="R47">
        <v>89.1783554579888</v>
      </c>
      <c r="S47">
        <v>90.174640707991699</v>
      </c>
      <c r="T47">
        <v>0</v>
      </c>
      <c r="U47" t="s">
        <v>38</v>
      </c>
      <c r="V47">
        <v>0</v>
      </c>
      <c r="W47">
        <v>0.99645616702036899</v>
      </c>
      <c r="X47" t="s">
        <v>33</v>
      </c>
      <c r="Y47">
        <v>328931</v>
      </c>
      <c r="Z47">
        <v>1</v>
      </c>
      <c r="AA47" t="s">
        <v>34</v>
      </c>
      <c r="AB47" t="s">
        <v>35</v>
      </c>
      <c r="AD47" t="s">
        <v>36</v>
      </c>
      <c r="AE47" t="s">
        <v>33</v>
      </c>
      <c r="AF47" t="s">
        <v>37</v>
      </c>
    </row>
    <row r="48" spans="1:32" x14ac:dyDescent="0.2">
      <c r="A48">
        <v>46</v>
      </c>
      <c r="B48">
        <v>0</v>
      </c>
      <c r="C48">
        <v>46</v>
      </c>
      <c r="D48">
        <v>0</v>
      </c>
      <c r="E48" t="s">
        <v>32</v>
      </c>
      <c r="F48">
        <v>1</v>
      </c>
      <c r="G48">
        <v>0.81536745800985899</v>
      </c>
      <c r="H48" t="s">
        <v>33</v>
      </c>
      <c r="I48">
        <v>46</v>
      </c>
      <c r="J48">
        <v>0</v>
      </c>
      <c r="K48">
        <v>46</v>
      </c>
      <c r="L48">
        <v>0</v>
      </c>
      <c r="M48">
        <v>90.184524416981702</v>
      </c>
      <c r="O48">
        <v>90.175393666984704</v>
      </c>
      <c r="P48">
        <v>90.184524416981702</v>
      </c>
      <c r="Q48">
        <v>91.172702666983199</v>
      </c>
      <c r="R48">
        <v>91.179015917005003</v>
      </c>
      <c r="S48">
        <v>91.991326207993495</v>
      </c>
      <c r="T48">
        <v>0</v>
      </c>
      <c r="U48" t="s">
        <v>32</v>
      </c>
      <c r="V48">
        <v>1</v>
      </c>
      <c r="W48">
        <v>0.81536745800985899</v>
      </c>
      <c r="X48" t="s">
        <v>33</v>
      </c>
      <c r="Y48">
        <v>328931</v>
      </c>
      <c r="Z48">
        <v>1</v>
      </c>
      <c r="AA48" t="s">
        <v>34</v>
      </c>
      <c r="AB48" t="s">
        <v>35</v>
      </c>
      <c r="AD48" t="s">
        <v>36</v>
      </c>
      <c r="AE48" t="s">
        <v>33</v>
      </c>
      <c r="AF48" t="s">
        <v>37</v>
      </c>
    </row>
    <row r="49" spans="1:32" x14ac:dyDescent="0.2">
      <c r="A49">
        <v>47</v>
      </c>
      <c r="B49">
        <v>0</v>
      </c>
      <c r="C49">
        <v>47</v>
      </c>
      <c r="D49">
        <v>0</v>
      </c>
      <c r="E49" t="s">
        <v>32</v>
      </c>
      <c r="F49">
        <v>1</v>
      </c>
      <c r="G49">
        <v>0.79678779197274696</v>
      </c>
      <c r="H49" t="s">
        <v>33</v>
      </c>
      <c r="I49">
        <v>47</v>
      </c>
      <c r="J49">
        <v>0</v>
      </c>
      <c r="K49">
        <v>47</v>
      </c>
      <c r="L49">
        <v>0</v>
      </c>
      <c r="M49">
        <v>92.001558249990893</v>
      </c>
      <c r="O49">
        <v>91.992146542004704</v>
      </c>
      <c r="P49">
        <v>92.001558249990893</v>
      </c>
      <c r="Q49">
        <v>92.989252416998994</v>
      </c>
      <c r="R49">
        <v>92.994889499997896</v>
      </c>
      <c r="S49">
        <v>93.791821582999503</v>
      </c>
      <c r="T49">
        <v>0</v>
      </c>
      <c r="U49" t="s">
        <v>32</v>
      </c>
      <c r="V49">
        <v>1</v>
      </c>
      <c r="W49">
        <v>0.79678779197274696</v>
      </c>
      <c r="X49" t="s">
        <v>33</v>
      </c>
      <c r="Y49">
        <v>328931</v>
      </c>
      <c r="Z49">
        <v>1</v>
      </c>
      <c r="AA49" t="s">
        <v>34</v>
      </c>
      <c r="AB49" t="s">
        <v>35</v>
      </c>
      <c r="AD49" t="s">
        <v>36</v>
      </c>
      <c r="AE49" t="s">
        <v>33</v>
      </c>
      <c r="AF49" t="s">
        <v>37</v>
      </c>
    </row>
    <row r="50" spans="1:32" x14ac:dyDescent="0.2">
      <c r="A50">
        <v>48</v>
      </c>
      <c r="B50">
        <v>0</v>
      </c>
      <c r="C50">
        <v>48</v>
      </c>
      <c r="D50">
        <v>-5</v>
      </c>
      <c r="E50" t="s">
        <v>32</v>
      </c>
      <c r="F50">
        <v>0</v>
      </c>
      <c r="G50">
        <v>0.80467620797571704</v>
      </c>
      <c r="H50" t="s">
        <v>33</v>
      </c>
      <c r="I50">
        <v>48</v>
      </c>
      <c r="J50">
        <v>0</v>
      </c>
      <c r="K50">
        <v>48</v>
      </c>
      <c r="L50">
        <v>0</v>
      </c>
      <c r="M50">
        <v>93.802002832992002</v>
      </c>
      <c r="O50">
        <v>93.792480332980602</v>
      </c>
      <c r="P50">
        <v>93.802002832992002</v>
      </c>
      <c r="Q50">
        <v>94.7893553749891</v>
      </c>
      <c r="R50">
        <v>94.795047999999895</v>
      </c>
      <c r="S50">
        <v>95.596097582980207</v>
      </c>
      <c r="T50">
        <v>-5</v>
      </c>
      <c r="U50" t="s">
        <v>32</v>
      </c>
      <c r="V50">
        <v>0</v>
      </c>
      <c r="W50">
        <v>0.80467620797571704</v>
      </c>
      <c r="X50" t="s">
        <v>33</v>
      </c>
      <c r="Y50">
        <v>328931</v>
      </c>
      <c r="Z50">
        <v>1</v>
      </c>
      <c r="AA50" t="s">
        <v>34</v>
      </c>
      <c r="AB50" t="s">
        <v>35</v>
      </c>
      <c r="AD50" t="s">
        <v>36</v>
      </c>
      <c r="AE50" t="s">
        <v>33</v>
      </c>
      <c r="AF50" t="s">
        <v>37</v>
      </c>
    </row>
    <row r="51" spans="1:32" x14ac:dyDescent="0.2">
      <c r="A51">
        <v>49</v>
      </c>
      <c r="B51">
        <v>0</v>
      </c>
      <c r="C51">
        <v>49</v>
      </c>
      <c r="D51">
        <v>0</v>
      </c>
      <c r="E51" t="s">
        <v>32</v>
      </c>
      <c r="F51">
        <v>1</v>
      </c>
      <c r="G51">
        <v>1.36979191598948</v>
      </c>
      <c r="H51" t="s">
        <v>33</v>
      </c>
      <c r="I51">
        <v>49</v>
      </c>
      <c r="J51">
        <v>0</v>
      </c>
      <c r="K51">
        <v>49</v>
      </c>
      <c r="L51">
        <v>0</v>
      </c>
      <c r="M51">
        <v>95.605709124996693</v>
      </c>
      <c r="O51">
        <v>95.596778707986203</v>
      </c>
      <c r="P51">
        <v>95.605709124996693</v>
      </c>
      <c r="Q51">
        <v>96.596220124978501</v>
      </c>
      <c r="R51">
        <v>96.596220124978501</v>
      </c>
      <c r="S51">
        <v>97.974199166987006</v>
      </c>
      <c r="T51">
        <v>0</v>
      </c>
      <c r="U51" t="s">
        <v>32</v>
      </c>
      <c r="V51">
        <v>1</v>
      </c>
      <c r="W51">
        <v>1.36979191598948</v>
      </c>
      <c r="X51" t="s">
        <v>33</v>
      </c>
      <c r="Y51">
        <v>328931</v>
      </c>
      <c r="Z51">
        <v>1</v>
      </c>
      <c r="AA51" t="s">
        <v>34</v>
      </c>
      <c r="AB51" t="s">
        <v>35</v>
      </c>
      <c r="AD51" t="s">
        <v>36</v>
      </c>
      <c r="AE51" t="s">
        <v>33</v>
      </c>
      <c r="AF51" t="s">
        <v>37</v>
      </c>
    </row>
    <row r="52" spans="1:32" x14ac:dyDescent="0.2">
      <c r="A52">
        <v>50</v>
      </c>
      <c r="B52">
        <v>0</v>
      </c>
      <c r="C52">
        <v>50</v>
      </c>
      <c r="D52">
        <v>4</v>
      </c>
      <c r="E52" t="s">
        <v>38</v>
      </c>
      <c r="F52">
        <v>1</v>
      </c>
      <c r="G52">
        <v>0.56228508302592595</v>
      </c>
      <c r="H52" t="s">
        <v>33</v>
      </c>
      <c r="I52">
        <v>50</v>
      </c>
      <c r="J52">
        <v>0</v>
      </c>
      <c r="K52">
        <v>50</v>
      </c>
      <c r="L52">
        <v>0</v>
      </c>
      <c r="M52">
        <v>97.984002624987596</v>
      </c>
      <c r="O52">
        <v>97.974780249991397</v>
      </c>
      <c r="P52">
        <v>97.984002624987596</v>
      </c>
      <c r="Q52">
        <v>98.972637333004897</v>
      </c>
      <c r="R52">
        <v>98.978480666992198</v>
      </c>
      <c r="S52">
        <v>99.5415192919899</v>
      </c>
      <c r="T52">
        <v>4</v>
      </c>
      <c r="U52" t="s">
        <v>38</v>
      </c>
      <c r="V52">
        <v>1</v>
      </c>
      <c r="W52">
        <v>0.56228508302592595</v>
      </c>
      <c r="X52" t="s">
        <v>33</v>
      </c>
      <c r="Y52">
        <v>328931</v>
      </c>
      <c r="Z52">
        <v>1</v>
      </c>
      <c r="AA52" t="s">
        <v>34</v>
      </c>
      <c r="AB52" t="s">
        <v>35</v>
      </c>
      <c r="AD52" t="s">
        <v>36</v>
      </c>
      <c r="AE52" t="s">
        <v>33</v>
      </c>
      <c r="AF52" t="s">
        <v>37</v>
      </c>
    </row>
    <row r="53" spans="1:32" x14ac:dyDescent="0.2">
      <c r="A53">
        <v>51</v>
      </c>
      <c r="B53">
        <v>0</v>
      </c>
      <c r="C53">
        <v>51</v>
      </c>
      <c r="D53">
        <v>0</v>
      </c>
      <c r="E53" t="s">
        <v>32</v>
      </c>
      <c r="F53">
        <v>1</v>
      </c>
      <c r="G53">
        <v>0.74886441600392495</v>
      </c>
      <c r="H53" t="s">
        <v>33</v>
      </c>
      <c r="I53">
        <v>51</v>
      </c>
      <c r="J53">
        <v>0</v>
      </c>
      <c r="K53">
        <v>51</v>
      </c>
      <c r="L53">
        <v>0</v>
      </c>
      <c r="M53">
        <v>99.551607707981006</v>
      </c>
      <c r="O53">
        <v>99.542343749984795</v>
      </c>
      <c r="P53">
        <v>99.551607707981006</v>
      </c>
      <c r="Q53">
        <v>100.539057582995</v>
      </c>
      <c r="R53">
        <v>100.54368241698801</v>
      </c>
      <c r="S53">
        <v>101.291279458004</v>
      </c>
      <c r="T53">
        <v>0</v>
      </c>
      <c r="U53" t="s">
        <v>32</v>
      </c>
      <c r="V53">
        <v>1</v>
      </c>
      <c r="W53">
        <v>0.74886441600392495</v>
      </c>
      <c r="X53" t="s">
        <v>33</v>
      </c>
      <c r="Y53">
        <v>328931</v>
      </c>
      <c r="Z53">
        <v>1</v>
      </c>
      <c r="AA53" t="s">
        <v>34</v>
      </c>
      <c r="AB53" t="s">
        <v>35</v>
      </c>
      <c r="AD53" t="s">
        <v>36</v>
      </c>
      <c r="AE53" t="s">
        <v>33</v>
      </c>
      <c r="AF53" t="s">
        <v>37</v>
      </c>
    </row>
    <row r="54" spans="1:32" x14ac:dyDescent="0.2">
      <c r="A54">
        <v>52</v>
      </c>
      <c r="B54">
        <v>0</v>
      </c>
      <c r="C54">
        <v>52</v>
      </c>
      <c r="D54">
        <v>0</v>
      </c>
      <c r="E54" t="s">
        <v>32</v>
      </c>
      <c r="F54">
        <v>1</v>
      </c>
      <c r="G54">
        <v>1.6342220000224099</v>
      </c>
      <c r="H54" t="s">
        <v>33</v>
      </c>
      <c r="I54">
        <v>52</v>
      </c>
      <c r="J54">
        <v>0</v>
      </c>
      <c r="K54">
        <v>52</v>
      </c>
      <c r="L54">
        <v>0</v>
      </c>
      <c r="M54">
        <v>101.30108024997701</v>
      </c>
      <c r="O54">
        <v>101.29199287499</v>
      </c>
      <c r="P54">
        <v>101.30108024997701</v>
      </c>
      <c r="Q54">
        <v>102.289454916986</v>
      </c>
      <c r="R54">
        <v>102.295754374994</v>
      </c>
      <c r="S54">
        <v>103.928735124995</v>
      </c>
      <c r="T54">
        <v>0</v>
      </c>
      <c r="U54" t="s">
        <v>32</v>
      </c>
      <c r="V54">
        <v>1</v>
      </c>
      <c r="W54">
        <v>1.6342220000224099</v>
      </c>
      <c r="X54" t="s">
        <v>33</v>
      </c>
      <c r="Y54">
        <v>328931</v>
      </c>
      <c r="Z54">
        <v>1</v>
      </c>
      <c r="AA54" t="s">
        <v>34</v>
      </c>
      <c r="AB54" t="s">
        <v>35</v>
      </c>
      <c r="AD54" t="s">
        <v>36</v>
      </c>
      <c r="AE54" t="s">
        <v>33</v>
      </c>
      <c r="AF54" t="s">
        <v>37</v>
      </c>
    </row>
    <row r="55" spans="1:32" x14ac:dyDescent="0.2">
      <c r="A55">
        <v>53</v>
      </c>
      <c r="B55">
        <v>0</v>
      </c>
      <c r="C55">
        <v>53</v>
      </c>
      <c r="D55">
        <v>0</v>
      </c>
      <c r="E55" t="s">
        <v>32</v>
      </c>
      <c r="F55">
        <v>1</v>
      </c>
      <c r="G55">
        <v>0.80025733300135404</v>
      </c>
      <c r="H55" t="s">
        <v>33</v>
      </c>
      <c r="I55">
        <v>53</v>
      </c>
      <c r="J55">
        <v>0</v>
      </c>
      <c r="K55">
        <v>53</v>
      </c>
      <c r="L55">
        <v>0</v>
      </c>
      <c r="M55">
        <v>103.938620417</v>
      </c>
      <c r="O55">
        <v>103.92911337499299</v>
      </c>
      <c r="P55">
        <v>103.938620417</v>
      </c>
      <c r="Q55">
        <v>104.92251629198999</v>
      </c>
      <c r="R55">
        <v>104.927980416978</v>
      </c>
      <c r="S55">
        <v>105.729976207978</v>
      </c>
      <c r="T55">
        <v>0</v>
      </c>
      <c r="U55" t="s">
        <v>32</v>
      </c>
      <c r="V55">
        <v>1</v>
      </c>
      <c r="W55">
        <v>0.80025733300135404</v>
      </c>
      <c r="X55" t="s">
        <v>33</v>
      </c>
      <c r="Y55">
        <v>328931</v>
      </c>
      <c r="Z55">
        <v>1</v>
      </c>
      <c r="AA55" t="s">
        <v>34</v>
      </c>
      <c r="AB55" t="s">
        <v>35</v>
      </c>
      <c r="AD55" t="s">
        <v>36</v>
      </c>
      <c r="AE55" t="s">
        <v>33</v>
      </c>
      <c r="AF55" t="s">
        <v>37</v>
      </c>
    </row>
    <row r="56" spans="1:32" x14ac:dyDescent="0.2">
      <c r="A56">
        <v>54</v>
      </c>
      <c r="B56">
        <v>0</v>
      </c>
      <c r="C56">
        <v>54</v>
      </c>
      <c r="D56">
        <v>0</v>
      </c>
      <c r="E56" t="s">
        <v>38</v>
      </c>
      <c r="F56">
        <v>0</v>
      </c>
      <c r="G56">
        <v>0.70286004198715002</v>
      </c>
      <c r="H56" t="s">
        <v>33</v>
      </c>
      <c r="I56">
        <v>54</v>
      </c>
      <c r="J56">
        <v>0</v>
      </c>
      <c r="K56">
        <v>54</v>
      </c>
      <c r="L56">
        <v>0</v>
      </c>
      <c r="M56">
        <v>105.738488707982</v>
      </c>
      <c r="O56">
        <v>105.730393457983</v>
      </c>
      <c r="P56">
        <v>105.738488707982</v>
      </c>
      <c r="Q56">
        <v>106.72991229197901</v>
      </c>
      <c r="R56">
        <v>106.72991229197901</v>
      </c>
      <c r="S56">
        <v>107.440978166996</v>
      </c>
      <c r="T56">
        <v>0</v>
      </c>
      <c r="U56" t="s">
        <v>38</v>
      </c>
      <c r="V56">
        <v>0</v>
      </c>
      <c r="W56">
        <v>0.70286004198715002</v>
      </c>
      <c r="X56" t="s">
        <v>33</v>
      </c>
      <c r="Y56">
        <v>328931</v>
      </c>
      <c r="Z56">
        <v>1</v>
      </c>
      <c r="AA56" t="s">
        <v>34</v>
      </c>
      <c r="AB56" t="s">
        <v>35</v>
      </c>
      <c r="AD56" t="s">
        <v>36</v>
      </c>
      <c r="AE56" t="s">
        <v>33</v>
      </c>
      <c r="AF56" t="s">
        <v>37</v>
      </c>
    </row>
    <row r="57" spans="1:32" x14ac:dyDescent="0.2">
      <c r="A57">
        <v>55</v>
      </c>
      <c r="B57">
        <v>0</v>
      </c>
      <c r="C57">
        <v>55</v>
      </c>
      <c r="D57">
        <v>3</v>
      </c>
      <c r="E57" t="s">
        <v>32</v>
      </c>
      <c r="F57">
        <v>0</v>
      </c>
      <c r="G57">
        <v>1.11552129097981</v>
      </c>
      <c r="H57" t="s">
        <v>33</v>
      </c>
      <c r="I57">
        <v>55</v>
      </c>
      <c r="J57">
        <v>0</v>
      </c>
      <c r="K57">
        <v>55</v>
      </c>
      <c r="L57">
        <v>0</v>
      </c>
      <c r="M57">
        <v>107.450719916989</v>
      </c>
      <c r="O57">
        <v>107.44158699997899</v>
      </c>
      <c r="P57">
        <v>107.450719916989</v>
      </c>
      <c r="Q57">
        <v>108.43913304200299</v>
      </c>
      <c r="R57">
        <v>108.443979250005</v>
      </c>
      <c r="S57">
        <v>109.557417292002</v>
      </c>
      <c r="T57">
        <v>3</v>
      </c>
      <c r="U57" t="s">
        <v>32</v>
      </c>
      <c r="V57">
        <v>0</v>
      </c>
      <c r="W57">
        <v>1.11552129097981</v>
      </c>
      <c r="X57" t="s">
        <v>33</v>
      </c>
      <c r="Y57">
        <v>328931</v>
      </c>
      <c r="Z57">
        <v>1</v>
      </c>
      <c r="AA57" t="s">
        <v>34</v>
      </c>
      <c r="AB57" t="s">
        <v>35</v>
      </c>
      <c r="AD57" t="s">
        <v>36</v>
      </c>
      <c r="AE57" t="s">
        <v>33</v>
      </c>
      <c r="AF57" t="s">
        <v>37</v>
      </c>
    </row>
    <row r="58" spans="1:32" x14ac:dyDescent="0.2">
      <c r="A58">
        <v>56</v>
      </c>
      <c r="B58">
        <v>0</v>
      </c>
      <c r="C58">
        <v>56</v>
      </c>
      <c r="D58">
        <v>0</v>
      </c>
      <c r="E58" t="s">
        <v>38</v>
      </c>
      <c r="F58">
        <v>0</v>
      </c>
      <c r="G58">
        <v>0.40864545799558899</v>
      </c>
      <c r="H58" t="s">
        <v>33</v>
      </c>
      <c r="I58">
        <v>56</v>
      </c>
      <c r="J58">
        <v>0</v>
      </c>
      <c r="K58">
        <v>56</v>
      </c>
      <c r="L58">
        <v>0</v>
      </c>
      <c r="M58">
        <v>109.567154624994</v>
      </c>
      <c r="O58">
        <v>109.55793091698401</v>
      </c>
      <c r="P58">
        <v>109.567154624994</v>
      </c>
      <c r="Q58">
        <v>110.556005749996</v>
      </c>
      <c r="R58">
        <v>110.561670416995</v>
      </c>
      <c r="S58">
        <v>110.97426987500501</v>
      </c>
      <c r="T58">
        <v>0</v>
      </c>
      <c r="U58" t="s">
        <v>38</v>
      </c>
      <c r="V58">
        <v>0</v>
      </c>
      <c r="W58">
        <v>0.40864545799558899</v>
      </c>
      <c r="X58" t="s">
        <v>33</v>
      </c>
      <c r="Y58">
        <v>328931</v>
      </c>
      <c r="Z58">
        <v>1</v>
      </c>
      <c r="AA58" t="s">
        <v>34</v>
      </c>
      <c r="AB58" t="s">
        <v>35</v>
      </c>
      <c r="AD58" t="s">
        <v>36</v>
      </c>
      <c r="AE58" t="s">
        <v>33</v>
      </c>
      <c r="AF58" t="s">
        <v>37</v>
      </c>
    </row>
    <row r="59" spans="1:32" x14ac:dyDescent="0.2">
      <c r="A59">
        <v>57</v>
      </c>
      <c r="B59">
        <v>0</v>
      </c>
      <c r="C59">
        <v>57</v>
      </c>
      <c r="D59">
        <v>0</v>
      </c>
      <c r="E59" t="s">
        <v>38</v>
      </c>
      <c r="F59">
        <v>0</v>
      </c>
      <c r="G59">
        <v>0.55697154099470902</v>
      </c>
      <c r="H59" t="s">
        <v>33</v>
      </c>
      <c r="I59">
        <v>57</v>
      </c>
      <c r="J59">
        <v>0</v>
      </c>
      <c r="K59">
        <v>57</v>
      </c>
      <c r="L59">
        <v>0</v>
      </c>
      <c r="M59">
        <v>110.983729291998</v>
      </c>
      <c r="O59">
        <v>110.97468033299</v>
      </c>
      <c r="P59">
        <v>110.983729291998</v>
      </c>
      <c r="Q59">
        <v>111.972626707982</v>
      </c>
      <c r="R59">
        <v>111.978269874991</v>
      </c>
      <c r="S59">
        <v>112.541397291992</v>
      </c>
      <c r="T59">
        <v>0</v>
      </c>
      <c r="U59" t="s">
        <v>38</v>
      </c>
      <c r="V59">
        <v>0</v>
      </c>
      <c r="W59">
        <v>0.55697154099470902</v>
      </c>
      <c r="X59" t="s">
        <v>33</v>
      </c>
      <c r="Y59">
        <v>328931</v>
      </c>
      <c r="Z59">
        <v>1</v>
      </c>
      <c r="AA59" t="s">
        <v>34</v>
      </c>
      <c r="AB59" t="s">
        <v>35</v>
      </c>
      <c r="AD59" t="s">
        <v>36</v>
      </c>
      <c r="AE59" t="s">
        <v>33</v>
      </c>
      <c r="AF59" t="s">
        <v>37</v>
      </c>
    </row>
    <row r="60" spans="1:32" x14ac:dyDescent="0.2">
      <c r="A60">
        <v>58</v>
      </c>
      <c r="B60">
        <v>0</v>
      </c>
      <c r="C60">
        <v>58</v>
      </c>
      <c r="D60">
        <v>-5</v>
      </c>
      <c r="E60" t="s">
        <v>32</v>
      </c>
      <c r="F60">
        <v>0</v>
      </c>
      <c r="G60">
        <v>0.81743745799758405</v>
      </c>
      <c r="H60" t="s">
        <v>33</v>
      </c>
      <c r="I60">
        <v>58</v>
      </c>
      <c r="J60">
        <v>0</v>
      </c>
      <c r="K60">
        <v>58</v>
      </c>
      <c r="L60">
        <v>0</v>
      </c>
      <c r="M60">
        <v>112.551471166982</v>
      </c>
      <c r="O60">
        <v>112.542326041992</v>
      </c>
      <c r="P60">
        <v>112.551471166982</v>
      </c>
      <c r="Q60">
        <v>113.539147667004</v>
      </c>
      <c r="R60">
        <v>113.544752707995</v>
      </c>
      <c r="S60">
        <v>114.362163707992</v>
      </c>
      <c r="T60">
        <v>-5</v>
      </c>
      <c r="U60" t="s">
        <v>32</v>
      </c>
      <c r="V60">
        <v>0</v>
      </c>
      <c r="W60">
        <v>0.81743745799758405</v>
      </c>
      <c r="X60" t="s">
        <v>33</v>
      </c>
      <c r="Y60">
        <v>328931</v>
      </c>
      <c r="Z60">
        <v>1</v>
      </c>
      <c r="AA60" t="s">
        <v>34</v>
      </c>
      <c r="AB60" t="s">
        <v>35</v>
      </c>
      <c r="AD60" t="s">
        <v>36</v>
      </c>
      <c r="AE60" t="s">
        <v>33</v>
      </c>
      <c r="AF60" t="s">
        <v>37</v>
      </c>
    </row>
    <row r="61" spans="1:32" x14ac:dyDescent="0.2">
      <c r="A61">
        <v>59</v>
      </c>
      <c r="B61">
        <v>0</v>
      </c>
      <c r="C61">
        <v>59</v>
      </c>
      <c r="D61">
        <v>1</v>
      </c>
      <c r="E61" t="s">
        <v>38</v>
      </c>
      <c r="F61">
        <v>1</v>
      </c>
      <c r="G61">
        <v>0.63767316698795096</v>
      </c>
      <c r="H61" t="s">
        <v>33</v>
      </c>
      <c r="I61">
        <v>59</v>
      </c>
      <c r="J61">
        <v>0</v>
      </c>
      <c r="K61">
        <v>59</v>
      </c>
      <c r="L61">
        <v>0</v>
      </c>
      <c r="M61">
        <v>114.372167499997</v>
      </c>
      <c r="O61">
        <v>114.362584541988</v>
      </c>
      <c r="P61">
        <v>114.372167499997</v>
      </c>
      <c r="Q61">
        <v>115.35588995798</v>
      </c>
      <c r="R61">
        <v>115.360721042001</v>
      </c>
      <c r="S61">
        <v>115.99550383299299</v>
      </c>
      <c r="T61">
        <v>1</v>
      </c>
      <c r="U61" t="s">
        <v>38</v>
      </c>
      <c r="V61">
        <v>1</v>
      </c>
      <c r="W61">
        <v>0.63767316698795096</v>
      </c>
      <c r="X61" t="s">
        <v>33</v>
      </c>
      <c r="Y61">
        <v>328931</v>
      </c>
      <c r="Z61">
        <v>1</v>
      </c>
      <c r="AA61" t="s">
        <v>34</v>
      </c>
      <c r="AB61" t="s">
        <v>35</v>
      </c>
      <c r="AD61" t="s">
        <v>36</v>
      </c>
      <c r="AE61" t="s">
        <v>33</v>
      </c>
      <c r="AF61" t="s">
        <v>37</v>
      </c>
    </row>
    <row r="62" spans="1:32" x14ac:dyDescent="0.2">
      <c r="A62">
        <v>60</v>
      </c>
      <c r="B62">
        <v>0</v>
      </c>
      <c r="C62">
        <v>60</v>
      </c>
      <c r="D62">
        <v>0</v>
      </c>
      <c r="E62" t="s">
        <v>32</v>
      </c>
      <c r="F62">
        <v>1</v>
      </c>
      <c r="G62">
        <v>2.0351447919965699</v>
      </c>
      <c r="H62" t="s">
        <v>33</v>
      </c>
      <c r="I62">
        <v>60</v>
      </c>
      <c r="J62">
        <v>0</v>
      </c>
      <c r="K62">
        <v>60</v>
      </c>
      <c r="L62">
        <v>0</v>
      </c>
      <c r="M62">
        <v>116.004645874985</v>
      </c>
      <c r="O62">
        <v>115.99596229198499</v>
      </c>
      <c r="P62">
        <v>116.004645874985</v>
      </c>
      <c r="Q62">
        <v>116.989345332985</v>
      </c>
      <c r="R62">
        <v>116.995619666995</v>
      </c>
      <c r="S62">
        <v>119.028612374997</v>
      </c>
      <c r="T62">
        <v>0</v>
      </c>
      <c r="U62" t="s">
        <v>32</v>
      </c>
      <c r="V62">
        <v>1</v>
      </c>
      <c r="W62">
        <v>2.0351447919965699</v>
      </c>
      <c r="X62" t="s">
        <v>33</v>
      </c>
      <c r="Y62">
        <v>328931</v>
      </c>
      <c r="Z62">
        <v>1</v>
      </c>
      <c r="AA62" t="s">
        <v>34</v>
      </c>
      <c r="AB62" t="s">
        <v>35</v>
      </c>
      <c r="AD62" t="s">
        <v>36</v>
      </c>
      <c r="AE62" t="s">
        <v>33</v>
      </c>
      <c r="AF62" t="s">
        <v>37</v>
      </c>
    </row>
    <row r="63" spans="1:32" x14ac:dyDescent="0.2">
      <c r="A63">
        <v>61</v>
      </c>
      <c r="B63">
        <v>0</v>
      </c>
      <c r="C63">
        <v>61</v>
      </c>
      <c r="D63">
        <v>0</v>
      </c>
      <c r="E63" t="s">
        <v>32</v>
      </c>
      <c r="F63">
        <v>1</v>
      </c>
      <c r="G63">
        <v>0.97281429098802596</v>
      </c>
      <c r="H63" t="s">
        <v>33</v>
      </c>
      <c r="I63">
        <v>61</v>
      </c>
      <c r="J63">
        <v>0</v>
      </c>
      <c r="K63">
        <v>61</v>
      </c>
      <c r="L63">
        <v>0</v>
      </c>
      <c r="M63">
        <v>119.038585125003</v>
      </c>
      <c r="O63">
        <v>119.028972332976</v>
      </c>
      <c r="P63">
        <v>119.038585125003</v>
      </c>
      <c r="Q63">
        <v>120.02256387498301</v>
      </c>
      <c r="R63">
        <v>120.028246082976</v>
      </c>
      <c r="S63">
        <v>121.008101207989</v>
      </c>
      <c r="T63">
        <v>0</v>
      </c>
      <c r="U63" t="s">
        <v>32</v>
      </c>
      <c r="V63">
        <v>1</v>
      </c>
      <c r="W63">
        <v>0.97281429098802596</v>
      </c>
      <c r="X63" t="s">
        <v>33</v>
      </c>
      <c r="Y63">
        <v>328931</v>
      </c>
      <c r="Z63">
        <v>1</v>
      </c>
      <c r="AA63" t="s">
        <v>34</v>
      </c>
      <c r="AB63" t="s">
        <v>35</v>
      </c>
      <c r="AD63" t="s">
        <v>36</v>
      </c>
      <c r="AE63" t="s">
        <v>33</v>
      </c>
      <c r="AF63" t="s">
        <v>37</v>
      </c>
    </row>
    <row r="64" spans="1:32" x14ac:dyDescent="0.2">
      <c r="A64">
        <v>62</v>
      </c>
      <c r="B64">
        <v>0</v>
      </c>
      <c r="C64">
        <v>62</v>
      </c>
      <c r="D64">
        <v>-5</v>
      </c>
      <c r="E64" t="s">
        <v>32</v>
      </c>
      <c r="F64">
        <v>0</v>
      </c>
      <c r="G64">
        <v>0.97337537401472196</v>
      </c>
      <c r="H64" t="s">
        <v>33</v>
      </c>
      <c r="I64">
        <v>62</v>
      </c>
      <c r="J64">
        <v>0</v>
      </c>
      <c r="K64">
        <v>62</v>
      </c>
      <c r="L64">
        <v>0</v>
      </c>
      <c r="M64">
        <v>121.018534667004</v>
      </c>
      <c r="O64">
        <v>121.00902358299901</v>
      </c>
      <c r="P64">
        <v>121.018534667004</v>
      </c>
      <c r="Q64">
        <v>122.00603179199901</v>
      </c>
      <c r="R64">
        <v>122.01205904199701</v>
      </c>
      <c r="S64">
        <v>122.991475749993</v>
      </c>
      <c r="T64">
        <v>-5</v>
      </c>
      <c r="U64" t="s">
        <v>32</v>
      </c>
      <c r="V64">
        <v>0</v>
      </c>
      <c r="W64">
        <v>0.97337537401472196</v>
      </c>
      <c r="X64" t="s">
        <v>33</v>
      </c>
      <c r="Y64">
        <v>328931</v>
      </c>
      <c r="Z64">
        <v>1</v>
      </c>
      <c r="AA64" t="s">
        <v>34</v>
      </c>
      <c r="AB64" t="s">
        <v>35</v>
      </c>
      <c r="AD64" t="s">
        <v>36</v>
      </c>
      <c r="AE64" t="s">
        <v>33</v>
      </c>
      <c r="AF64" t="s">
        <v>37</v>
      </c>
    </row>
    <row r="65" spans="1:32" x14ac:dyDescent="0.2">
      <c r="A65">
        <v>63</v>
      </c>
      <c r="B65">
        <v>0</v>
      </c>
      <c r="C65">
        <v>63</v>
      </c>
      <c r="D65">
        <v>0</v>
      </c>
      <c r="E65" t="s">
        <v>32</v>
      </c>
      <c r="F65">
        <v>1</v>
      </c>
      <c r="G65">
        <v>0.91088608300196905</v>
      </c>
      <c r="H65" t="s">
        <v>33</v>
      </c>
      <c r="I65">
        <v>63</v>
      </c>
      <c r="J65">
        <v>0</v>
      </c>
      <c r="K65">
        <v>63</v>
      </c>
      <c r="L65">
        <v>0</v>
      </c>
      <c r="M65">
        <v>123.001436124992</v>
      </c>
      <c r="O65">
        <v>122.992282541992</v>
      </c>
      <c r="P65">
        <v>123.001436124992</v>
      </c>
      <c r="Q65">
        <v>123.989387166977</v>
      </c>
      <c r="R65">
        <v>123.995467749977</v>
      </c>
      <c r="S65">
        <v>124.90722879199799</v>
      </c>
      <c r="T65">
        <v>0</v>
      </c>
      <c r="U65" t="s">
        <v>32</v>
      </c>
      <c r="V65">
        <v>1</v>
      </c>
      <c r="W65">
        <v>0.91088608300196905</v>
      </c>
      <c r="X65" t="s">
        <v>33</v>
      </c>
      <c r="Y65">
        <v>328931</v>
      </c>
      <c r="Z65">
        <v>1</v>
      </c>
      <c r="AA65" t="s">
        <v>34</v>
      </c>
      <c r="AB65" t="s">
        <v>35</v>
      </c>
      <c r="AD65" t="s">
        <v>36</v>
      </c>
      <c r="AE65" t="s">
        <v>33</v>
      </c>
      <c r="AF65" t="s">
        <v>37</v>
      </c>
    </row>
    <row r="66" spans="1:32" x14ac:dyDescent="0.2">
      <c r="A66">
        <v>64</v>
      </c>
      <c r="B66">
        <v>0</v>
      </c>
      <c r="C66">
        <v>64</v>
      </c>
      <c r="D66">
        <v>0</v>
      </c>
      <c r="E66" t="s">
        <v>38</v>
      </c>
      <c r="F66">
        <v>0</v>
      </c>
      <c r="G66">
        <v>1.2084857080189899</v>
      </c>
      <c r="H66" t="s">
        <v>33</v>
      </c>
      <c r="I66">
        <v>64</v>
      </c>
      <c r="J66">
        <v>0</v>
      </c>
      <c r="K66">
        <v>64</v>
      </c>
      <c r="L66">
        <v>0</v>
      </c>
      <c r="M66">
        <v>124.91682979199599</v>
      </c>
      <c r="O66">
        <v>124.907624791987</v>
      </c>
      <c r="P66">
        <v>124.91682979199599</v>
      </c>
      <c r="Q66">
        <v>125.905839207989</v>
      </c>
      <c r="R66">
        <v>125.911681917001</v>
      </c>
      <c r="S66">
        <v>127.124182457977</v>
      </c>
      <c r="T66">
        <v>0</v>
      </c>
      <c r="U66" t="s">
        <v>38</v>
      </c>
      <c r="V66">
        <v>0</v>
      </c>
      <c r="W66">
        <v>1.2084857080189899</v>
      </c>
      <c r="X66" t="s">
        <v>33</v>
      </c>
      <c r="Y66">
        <v>328931</v>
      </c>
      <c r="Z66">
        <v>1</v>
      </c>
      <c r="AA66" t="s">
        <v>34</v>
      </c>
      <c r="AB66" t="s">
        <v>35</v>
      </c>
      <c r="AD66" t="s">
        <v>36</v>
      </c>
      <c r="AE66" t="s">
        <v>33</v>
      </c>
      <c r="AF66" t="s">
        <v>37</v>
      </c>
    </row>
    <row r="67" spans="1:32" x14ac:dyDescent="0.2">
      <c r="A67">
        <v>65</v>
      </c>
      <c r="B67">
        <v>0</v>
      </c>
      <c r="C67">
        <v>65</v>
      </c>
      <c r="D67">
        <v>-3</v>
      </c>
      <c r="E67" t="s">
        <v>38</v>
      </c>
      <c r="F67">
        <v>1</v>
      </c>
      <c r="G67">
        <v>0.98477137400186598</v>
      </c>
      <c r="H67" t="s">
        <v>33</v>
      </c>
      <c r="I67">
        <v>65</v>
      </c>
      <c r="J67">
        <v>0</v>
      </c>
      <c r="K67">
        <v>65</v>
      </c>
      <c r="L67">
        <v>0</v>
      </c>
      <c r="M67">
        <v>127.13362700000199</v>
      </c>
      <c r="O67">
        <v>127.124625333002</v>
      </c>
      <c r="P67">
        <v>127.13362700000199</v>
      </c>
      <c r="Q67">
        <v>128.122504792001</v>
      </c>
      <c r="R67">
        <v>128.12727666698601</v>
      </c>
      <c r="S67">
        <v>129.11207045798</v>
      </c>
      <c r="T67">
        <v>-3</v>
      </c>
      <c r="U67" t="s">
        <v>38</v>
      </c>
      <c r="V67">
        <v>1</v>
      </c>
      <c r="W67">
        <v>0.98477137400186598</v>
      </c>
      <c r="X67" t="s">
        <v>33</v>
      </c>
      <c r="Y67">
        <v>328931</v>
      </c>
      <c r="Z67">
        <v>1</v>
      </c>
      <c r="AA67" t="s">
        <v>34</v>
      </c>
      <c r="AB67" t="s">
        <v>35</v>
      </c>
      <c r="AD67" t="s">
        <v>36</v>
      </c>
      <c r="AE67" t="s">
        <v>33</v>
      </c>
      <c r="AF67" t="s">
        <v>37</v>
      </c>
    </row>
    <row r="68" spans="1:32" x14ac:dyDescent="0.2">
      <c r="A68">
        <v>66</v>
      </c>
      <c r="B68">
        <v>0</v>
      </c>
      <c r="C68">
        <v>66</v>
      </c>
      <c r="D68">
        <v>-2</v>
      </c>
      <c r="E68" t="s">
        <v>38</v>
      </c>
      <c r="F68">
        <v>1</v>
      </c>
      <c r="G68">
        <v>0.82240983299561699</v>
      </c>
      <c r="H68" t="s">
        <v>33</v>
      </c>
      <c r="I68">
        <v>66</v>
      </c>
      <c r="J68">
        <v>0</v>
      </c>
      <c r="K68">
        <v>66</v>
      </c>
      <c r="L68">
        <v>0</v>
      </c>
      <c r="M68">
        <v>129.121425958001</v>
      </c>
      <c r="O68">
        <v>129.112488999991</v>
      </c>
      <c r="P68">
        <v>129.121425958001</v>
      </c>
      <c r="Q68">
        <v>130.105792832997</v>
      </c>
      <c r="R68">
        <v>130.11142845798099</v>
      </c>
      <c r="S68">
        <v>130.94151466697801</v>
      </c>
      <c r="T68">
        <v>-2</v>
      </c>
      <c r="U68" t="s">
        <v>38</v>
      </c>
      <c r="V68">
        <v>1</v>
      </c>
      <c r="W68">
        <v>0.82240983299561699</v>
      </c>
      <c r="X68" t="s">
        <v>33</v>
      </c>
      <c r="Y68">
        <v>328931</v>
      </c>
      <c r="Z68">
        <v>1</v>
      </c>
      <c r="AA68" t="s">
        <v>34</v>
      </c>
      <c r="AB68" t="s">
        <v>35</v>
      </c>
      <c r="AD68" t="s">
        <v>36</v>
      </c>
      <c r="AE68" t="s">
        <v>33</v>
      </c>
      <c r="AF68" t="s">
        <v>37</v>
      </c>
    </row>
    <row r="69" spans="1:32" x14ac:dyDescent="0.2">
      <c r="A69">
        <v>67</v>
      </c>
      <c r="B69">
        <v>0</v>
      </c>
      <c r="C69">
        <v>67</v>
      </c>
      <c r="D69">
        <v>0</v>
      </c>
      <c r="E69" t="s">
        <v>32</v>
      </c>
      <c r="F69">
        <v>1</v>
      </c>
      <c r="G69">
        <v>2.2867239580082201</v>
      </c>
      <c r="H69" t="s">
        <v>33</v>
      </c>
      <c r="I69">
        <v>67</v>
      </c>
      <c r="J69">
        <v>0</v>
      </c>
      <c r="K69">
        <v>67</v>
      </c>
      <c r="L69">
        <v>0</v>
      </c>
      <c r="M69">
        <v>130.951746541977</v>
      </c>
      <c r="O69">
        <v>130.94236562500001</v>
      </c>
      <c r="P69">
        <v>130.951746541977</v>
      </c>
      <c r="Q69">
        <v>131.93937170799401</v>
      </c>
      <c r="R69">
        <v>131.946022374992</v>
      </c>
      <c r="S69">
        <v>134.22878195799399</v>
      </c>
      <c r="T69">
        <v>0</v>
      </c>
      <c r="U69" t="s">
        <v>32</v>
      </c>
      <c r="V69">
        <v>1</v>
      </c>
      <c r="W69">
        <v>2.2867239580082201</v>
      </c>
      <c r="X69" t="s">
        <v>33</v>
      </c>
      <c r="Y69">
        <v>328931</v>
      </c>
      <c r="Z69">
        <v>1</v>
      </c>
      <c r="AA69" t="s">
        <v>34</v>
      </c>
      <c r="AB69" t="s">
        <v>35</v>
      </c>
      <c r="AD69" t="s">
        <v>36</v>
      </c>
      <c r="AE69" t="s">
        <v>33</v>
      </c>
      <c r="AF69" t="s">
        <v>37</v>
      </c>
    </row>
    <row r="70" spans="1:32" x14ac:dyDescent="0.2">
      <c r="A70">
        <v>68</v>
      </c>
      <c r="B70">
        <v>0</v>
      </c>
      <c r="C70">
        <v>68</v>
      </c>
      <c r="D70">
        <v>-5</v>
      </c>
      <c r="E70" t="s">
        <v>32</v>
      </c>
      <c r="F70">
        <v>0</v>
      </c>
      <c r="G70">
        <v>1.7102705409924901</v>
      </c>
      <c r="H70" t="s">
        <v>33</v>
      </c>
      <c r="I70">
        <v>68</v>
      </c>
      <c r="J70">
        <v>0</v>
      </c>
      <c r="K70">
        <v>68</v>
      </c>
      <c r="L70">
        <v>0</v>
      </c>
      <c r="M70">
        <v>134.23818766698199</v>
      </c>
      <c r="O70">
        <v>134.22920558298901</v>
      </c>
      <c r="P70">
        <v>134.23818766698199</v>
      </c>
      <c r="Q70">
        <v>135.222713541996</v>
      </c>
      <c r="R70">
        <v>135.22916062499201</v>
      </c>
      <c r="S70">
        <v>136.94134687498399</v>
      </c>
      <c r="T70">
        <v>-5</v>
      </c>
      <c r="U70" t="s">
        <v>32</v>
      </c>
      <c r="V70">
        <v>0</v>
      </c>
      <c r="W70">
        <v>1.7102705409924901</v>
      </c>
      <c r="X70" t="s">
        <v>33</v>
      </c>
      <c r="Y70">
        <v>328931</v>
      </c>
      <c r="Z70">
        <v>1</v>
      </c>
      <c r="AA70" t="s">
        <v>34</v>
      </c>
      <c r="AB70" t="s">
        <v>35</v>
      </c>
      <c r="AD70" t="s">
        <v>36</v>
      </c>
      <c r="AE70" t="s">
        <v>33</v>
      </c>
      <c r="AF70" t="s">
        <v>37</v>
      </c>
    </row>
    <row r="71" spans="1:32" x14ac:dyDescent="0.2">
      <c r="A71">
        <v>69</v>
      </c>
      <c r="B71">
        <v>0</v>
      </c>
      <c r="C71">
        <v>69</v>
      </c>
      <c r="D71">
        <v>2</v>
      </c>
      <c r="E71" t="s">
        <v>32</v>
      </c>
      <c r="F71">
        <v>0</v>
      </c>
      <c r="G71">
        <v>0.76348049900843695</v>
      </c>
      <c r="H71" t="s">
        <v>33</v>
      </c>
      <c r="I71">
        <v>69</v>
      </c>
      <c r="J71">
        <v>0</v>
      </c>
      <c r="K71">
        <v>69</v>
      </c>
      <c r="L71">
        <v>0</v>
      </c>
      <c r="M71">
        <v>136.951727624982</v>
      </c>
      <c r="O71">
        <v>136.94221241699401</v>
      </c>
      <c r="P71">
        <v>136.951727624982</v>
      </c>
      <c r="Q71">
        <v>137.93923166699801</v>
      </c>
      <c r="R71">
        <v>137.94546554199701</v>
      </c>
      <c r="S71">
        <v>138.70787687497699</v>
      </c>
      <c r="T71">
        <v>2</v>
      </c>
      <c r="U71" t="s">
        <v>32</v>
      </c>
      <c r="V71">
        <v>0</v>
      </c>
      <c r="W71">
        <v>0.76348049900843695</v>
      </c>
      <c r="X71" t="s">
        <v>33</v>
      </c>
      <c r="Y71">
        <v>328931</v>
      </c>
      <c r="Z71">
        <v>1</v>
      </c>
      <c r="AA71" t="s">
        <v>34</v>
      </c>
      <c r="AB71" t="s">
        <v>35</v>
      </c>
      <c r="AD71" t="s">
        <v>36</v>
      </c>
      <c r="AE71" t="s">
        <v>33</v>
      </c>
      <c r="AF71" t="s">
        <v>37</v>
      </c>
    </row>
    <row r="72" spans="1:32" x14ac:dyDescent="0.2">
      <c r="A72">
        <v>70</v>
      </c>
      <c r="B72">
        <v>0</v>
      </c>
      <c r="C72">
        <v>70</v>
      </c>
      <c r="D72">
        <v>0</v>
      </c>
      <c r="E72" t="s">
        <v>38</v>
      </c>
      <c r="F72">
        <v>0</v>
      </c>
      <c r="G72">
        <v>0.50321958298445602</v>
      </c>
      <c r="H72" t="s">
        <v>33</v>
      </c>
      <c r="I72">
        <v>70</v>
      </c>
      <c r="J72">
        <v>0</v>
      </c>
      <c r="K72">
        <v>70</v>
      </c>
      <c r="L72">
        <v>0</v>
      </c>
      <c r="M72">
        <v>138.717980541987</v>
      </c>
      <c r="O72">
        <v>138.70859595798501</v>
      </c>
      <c r="P72">
        <v>138.717980541987</v>
      </c>
      <c r="Q72">
        <v>139.70576808298901</v>
      </c>
      <c r="R72">
        <v>139.71137362500301</v>
      </c>
      <c r="S72">
        <v>140.21145366699699</v>
      </c>
      <c r="T72">
        <v>0</v>
      </c>
      <c r="U72" t="s">
        <v>38</v>
      </c>
      <c r="V72">
        <v>0</v>
      </c>
      <c r="W72">
        <v>0.50321958298445602</v>
      </c>
      <c r="X72" t="s">
        <v>33</v>
      </c>
      <c r="Y72">
        <v>328931</v>
      </c>
      <c r="Z72">
        <v>1</v>
      </c>
      <c r="AA72" t="s">
        <v>34</v>
      </c>
      <c r="AB72" t="s">
        <v>35</v>
      </c>
      <c r="AD72" t="s">
        <v>36</v>
      </c>
      <c r="AE72" t="s">
        <v>33</v>
      </c>
      <c r="AF72" t="s">
        <v>37</v>
      </c>
    </row>
    <row r="73" spans="1:32" x14ac:dyDescent="0.2">
      <c r="A73">
        <v>71</v>
      </c>
      <c r="B73">
        <v>0</v>
      </c>
      <c r="C73">
        <v>71</v>
      </c>
      <c r="D73">
        <v>1</v>
      </c>
      <c r="E73" t="s">
        <v>38</v>
      </c>
      <c r="F73">
        <v>1</v>
      </c>
      <c r="G73">
        <v>0.57019208301790003</v>
      </c>
      <c r="H73" t="s">
        <v>33</v>
      </c>
      <c r="I73">
        <v>71</v>
      </c>
      <c r="J73">
        <v>0</v>
      </c>
      <c r="K73">
        <v>71</v>
      </c>
      <c r="L73">
        <v>0</v>
      </c>
      <c r="M73">
        <v>140.22172587498699</v>
      </c>
      <c r="O73">
        <v>140.21197895798801</v>
      </c>
      <c r="P73">
        <v>140.22172587498699</v>
      </c>
      <c r="Q73">
        <v>141.20575491699799</v>
      </c>
      <c r="R73">
        <v>141.21186570799901</v>
      </c>
      <c r="S73">
        <v>141.77854933298599</v>
      </c>
      <c r="T73">
        <v>1</v>
      </c>
      <c r="U73" t="s">
        <v>38</v>
      </c>
      <c r="V73">
        <v>1</v>
      </c>
      <c r="W73">
        <v>0.57019208301790003</v>
      </c>
      <c r="X73" t="s">
        <v>33</v>
      </c>
      <c r="Y73">
        <v>328931</v>
      </c>
      <c r="Z73">
        <v>1</v>
      </c>
      <c r="AA73" t="s">
        <v>34</v>
      </c>
      <c r="AB73" t="s">
        <v>35</v>
      </c>
      <c r="AD73" t="s">
        <v>36</v>
      </c>
      <c r="AE73" t="s">
        <v>33</v>
      </c>
      <c r="AF73" t="s">
        <v>37</v>
      </c>
    </row>
    <row r="74" spans="1:32" x14ac:dyDescent="0.2">
      <c r="A74">
        <v>72</v>
      </c>
      <c r="B74">
        <v>0</v>
      </c>
      <c r="C74">
        <v>72</v>
      </c>
      <c r="D74">
        <v>0</v>
      </c>
      <c r="E74" t="s">
        <v>38</v>
      </c>
      <c r="F74">
        <v>0</v>
      </c>
      <c r="G74">
        <v>0.49364470798172899</v>
      </c>
      <c r="H74" t="s">
        <v>33</v>
      </c>
      <c r="I74">
        <v>72</v>
      </c>
      <c r="J74">
        <v>0</v>
      </c>
      <c r="K74">
        <v>72</v>
      </c>
      <c r="L74">
        <v>0</v>
      </c>
      <c r="M74">
        <v>141.78868383300099</v>
      </c>
      <c r="O74">
        <v>141.77900924999199</v>
      </c>
      <c r="P74">
        <v>141.78868383300099</v>
      </c>
      <c r="Q74">
        <v>142.77923720798501</v>
      </c>
      <c r="R74">
        <v>142.77923720798501</v>
      </c>
      <c r="S74">
        <v>143.27876283298201</v>
      </c>
      <c r="T74">
        <v>0</v>
      </c>
      <c r="U74" t="s">
        <v>38</v>
      </c>
      <c r="V74">
        <v>0</v>
      </c>
      <c r="W74">
        <v>0.49364470798172899</v>
      </c>
      <c r="X74" t="s">
        <v>33</v>
      </c>
      <c r="Y74">
        <v>328931</v>
      </c>
      <c r="Z74">
        <v>1</v>
      </c>
      <c r="AA74" t="s">
        <v>34</v>
      </c>
      <c r="AB74" t="s">
        <v>35</v>
      </c>
      <c r="AD74" t="s">
        <v>36</v>
      </c>
      <c r="AE74" t="s">
        <v>33</v>
      </c>
      <c r="AF74" t="s">
        <v>37</v>
      </c>
    </row>
    <row r="75" spans="1:32" x14ac:dyDescent="0.2">
      <c r="A75">
        <v>73</v>
      </c>
      <c r="B75">
        <v>0</v>
      </c>
      <c r="C75">
        <v>73</v>
      </c>
      <c r="D75">
        <v>-4</v>
      </c>
      <c r="E75" t="s">
        <v>32</v>
      </c>
      <c r="F75">
        <v>0</v>
      </c>
      <c r="G75">
        <v>1.1480233740003301</v>
      </c>
      <c r="H75" t="s">
        <v>33</v>
      </c>
      <c r="I75">
        <v>73</v>
      </c>
      <c r="J75">
        <v>0</v>
      </c>
      <c r="K75">
        <v>73</v>
      </c>
      <c r="L75">
        <v>0</v>
      </c>
      <c r="M75">
        <v>143.28869729197999</v>
      </c>
      <c r="O75">
        <v>143.27918395798699</v>
      </c>
      <c r="P75">
        <v>143.28869729197999</v>
      </c>
      <c r="Q75">
        <v>144.27273983298801</v>
      </c>
      <c r="R75">
        <v>144.277609916985</v>
      </c>
      <c r="S75">
        <v>145.42457866697799</v>
      </c>
      <c r="T75">
        <v>-4</v>
      </c>
      <c r="U75" t="s">
        <v>32</v>
      </c>
      <c r="V75">
        <v>0</v>
      </c>
      <c r="W75">
        <v>1.1480233740003301</v>
      </c>
      <c r="X75" t="s">
        <v>33</v>
      </c>
      <c r="Y75">
        <v>328931</v>
      </c>
      <c r="Z75">
        <v>1</v>
      </c>
      <c r="AA75" t="s">
        <v>34</v>
      </c>
      <c r="AB75" t="s">
        <v>35</v>
      </c>
      <c r="AD75" t="s">
        <v>36</v>
      </c>
      <c r="AE75" t="s">
        <v>33</v>
      </c>
      <c r="AF75" t="s">
        <v>37</v>
      </c>
    </row>
    <row r="76" spans="1:32" x14ac:dyDescent="0.2">
      <c r="A76">
        <v>74</v>
      </c>
      <c r="B76">
        <v>0</v>
      </c>
      <c r="C76">
        <v>74</v>
      </c>
      <c r="D76">
        <v>0</v>
      </c>
      <c r="E76" t="s">
        <v>38</v>
      </c>
      <c r="F76">
        <v>0</v>
      </c>
      <c r="G76">
        <v>0.60908466699765995</v>
      </c>
      <c r="H76" t="s">
        <v>33</v>
      </c>
      <c r="I76">
        <v>74</v>
      </c>
      <c r="J76">
        <v>0</v>
      </c>
      <c r="K76">
        <v>74</v>
      </c>
      <c r="L76">
        <v>0</v>
      </c>
      <c r="M76">
        <v>145.434752041997</v>
      </c>
      <c r="O76">
        <v>145.42531333299101</v>
      </c>
      <c r="P76">
        <v>145.434752041997</v>
      </c>
      <c r="Q76">
        <v>146.42272070798199</v>
      </c>
      <c r="R76">
        <v>146.428796457999</v>
      </c>
      <c r="S76">
        <v>147.04133162498999</v>
      </c>
      <c r="T76">
        <v>0</v>
      </c>
      <c r="U76" t="s">
        <v>38</v>
      </c>
      <c r="V76">
        <v>0</v>
      </c>
      <c r="W76">
        <v>0.60908466699765995</v>
      </c>
      <c r="X76" t="s">
        <v>33</v>
      </c>
      <c r="Y76">
        <v>328931</v>
      </c>
      <c r="Z76">
        <v>1</v>
      </c>
      <c r="AA76" t="s">
        <v>34</v>
      </c>
      <c r="AB76" t="s">
        <v>35</v>
      </c>
      <c r="AD76" t="s">
        <v>36</v>
      </c>
      <c r="AE76" t="s">
        <v>33</v>
      </c>
      <c r="AF76" t="s">
        <v>37</v>
      </c>
    </row>
    <row r="77" spans="1:32" x14ac:dyDescent="0.2">
      <c r="A77">
        <v>75</v>
      </c>
      <c r="B77">
        <v>0</v>
      </c>
      <c r="C77">
        <v>75</v>
      </c>
      <c r="D77">
        <v>0</v>
      </c>
      <c r="E77" t="s">
        <v>38</v>
      </c>
      <c r="F77">
        <v>0</v>
      </c>
      <c r="G77">
        <v>0.66131570801371697</v>
      </c>
      <c r="H77" t="s">
        <v>33</v>
      </c>
      <c r="I77">
        <v>75</v>
      </c>
      <c r="J77">
        <v>0</v>
      </c>
      <c r="K77">
        <v>75</v>
      </c>
      <c r="L77">
        <v>0</v>
      </c>
      <c r="M77">
        <v>147.051377750001</v>
      </c>
      <c r="O77">
        <v>147.04215641698099</v>
      </c>
      <c r="P77">
        <v>147.051377750001</v>
      </c>
      <c r="Q77">
        <v>148.039395625004</v>
      </c>
      <c r="R77">
        <v>148.04481958298101</v>
      </c>
      <c r="S77">
        <v>148.707539499999</v>
      </c>
      <c r="T77">
        <v>0</v>
      </c>
      <c r="U77" t="s">
        <v>38</v>
      </c>
      <c r="V77">
        <v>0</v>
      </c>
      <c r="W77">
        <v>0.66131570801371697</v>
      </c>
      <c r="X77" t="s">
        <v>33</v>
      </c>
      <c r="Y77">
        <v>328931</v>
      </c>
      <c r="Z77">
        <v>1</v>
      </c>
      <c r="AA77" t="s">
        <v>34</v>
      </c>
      <c r="AB77" t="s">
        <v>35</v>
      </c>
      <c r="AD77" t="s">
        <v>36</v>
      </c>
      <c r="AE77" t="s">
        <v>33</v>
      </c>
      <c r="AF77" t="s">
        <v>37</v>
      </c>
    </row>
    <row r="78" spans="1:32" x14ac:dyDescent="0.2">
      <c r="A78">
        <v>76</v>
      </c>
      <c r="B78">
        <v>0</v>
      </c>
      <c r="C78">
        <v>76</v>
      </c>
      <c r="D78">
        <v>2</v>
      </c>
      <c r="E78" t="s">
        <v>32</v>
      </c>
      <c r="F78">
        <v>0</v>
      </c>
      <c r="G78">
        <v>0.93203529098536797</v>
      </c>
      <c r="H78" t="s">
        <v>33</v>
      </c>
      <c r="I78">
        <v>76</v>
      </c>
      <c r="J78">
        <v>0</v>
      </c>
      <c r="K78">
        <v>76</v>
      </c>
      <c r="L78">
        <v>0</v>
      </c>
      <c r="M78">
        <v>148.71742795797701</v>
      </c>
      <c r="O78">
        <v>148.70814462497901</v>
      </c>
      <c r="P78">
        <v>148.71742795797701</v>
      </c>
      <c r="Q78">
        <v>149.70468329198701</v>
      </c>
      <c r="R78">
        <v>149.70936454197999</v>
      </c>
      <c r="S78">
        <v>150.64118812498</v>
      </c>
      <c r="T78">
        <v>2</v>
      </c>
      <c r="U78" t="s">
        <v>32</v>
      </c>
      <c r="V78">
        <v>0</v>
      </c>
      <c r="W78">
        <v>0.93203529098536797</v>
      </c>
      <c r="X78" t="s">
        <v>33</v>
      </c>
      <c r="Y78">
        <v>328931</v>
      </c>
      <c r="Z78">
        <v>1</v>
      </c>
      <c r="AA78" t="s">
        <v>34</v>
      </c>
      <c r="AB78" t="s">
        <v>35</v>
      </c>
      <c r="AD78" t="s">
        <v>36</v>
      </c>
      <c r="AE78" t="s">
        <v>33</v>
      </c>
      <c r="AF78" t="s">
        <v>37</v>
      </c>
    </row>
    <row r="79" spans="1:32" x14ac:dyDescent="0.2">
      <c r="A79">
        <v>77</v>
      </c>
      <c r="B79">
        <v>0</v>
      </c>
      <c r="C79">
        <v>77</v>
      </c>
      <c r="D79">
        <v>0</v>
      </c>
      <c r="E79" t="s">
        <v>38</v>
      </c>
      <c r="F79">
        <v>0</v>
      </c>
      <c r="G79">
        <v>0.46808687402517501</v>
      </c>
      <c r="H79" t="s">
        <v>33</v>
      </c>
      <c r="I79">
        <v>77</v>
      </c>
      <c r="J79">
        <v>0</v>
      </c>
      <c r="K79">
        <v>77</v>
      </c>
      <c r="L79">
        <v>0</v>
      </c>
      <c r="M79">
        <v>150.65142966699199</v>
      </c>
      <c r="O79">
        <v>150.642022832995</v>
      </c>
      <c r="P79">
        <v>150.65142966699199</v>
      </c>
      <c r="Q79">
        <v>151.63864620798199</v>
      </c>
      <c r="R79">
        <v>151.643434375</v>
      </c>
      <c r="S79">
        <v>152.11180720798399</v>
      </c>
      <c r="T79">
        <v>0</v>
      </c>
      <c r="U79" t="s">
        <v>38</v>
      </c>
      <c r="V79">
        <v>0</v>
      </c>
      <c r="W79">
        <v>0.46808687402517501</v>
      </c>
      <c r="X79" t="s">
        <v>33</v>
      </c>
      <c r="Y79">
        <v>328931</v>
      </c>
      <c r="Z79">
        <v>1</v>
      </c>
      <c r="AA79" t="s">
        <v>34</v>
      </c>
      <c r="AB79" t="s">
        <v>35</v>
      </c>
      <c r="AD79" t="s">
        <v>36</v>
      </c>
      <c r="AE79" t="s">
        <v>33</v>
      </c>
      <c r="AF79" t="s">
        <v>37</v>
      </c>
    </row>
    <row r="80" spans="1:32" x14ac:dyDescent="0.2">
      <c r="A80">
        <v>78</v>
      </c>
      <c r="B80">
        <v>0</v>
      </c>
      <c r="C80">
        <v>78</v>
      </c>
      <c r="D80">
        <v>0</v>
      </c>
      <c r="E80" t="s">
        <v>38</v>
      </c>
      <c r="F80">
        <v>0</v>
      </c>
      <c r="G80">
        <v>0.53382050001528103</v>
      </c>
      <c r="H80" t="s">
        <v>33</v>
      </c>
      <c r="I80">
        <v>78</v>
      </c>
      <c r="J80">
        <v>0</v>
      </c>
      <c r="K80">
        <v>78</v>
      </c>
      <c r="L80">
        <v>0</v>
      </c>
      <c r="M80">
        <v>152.12202641699599</v>
      </c>
      <c r="O80">
        <v>152.112530541984</v>
      </c>
      <c r="P80">
        <v>152.12202641699599</v>
      </c>
      <c r="Q80">
        <v>153.10582520798101</v>
      </c>
      <c r="R80">
        <v>153.11138170800399</v>
      </c>
      <c r="S80">
        <v>153.645631833001</v>
      </c>
      <c r="T80">
        <v>0</v>
      </c>
      <c r="U80" t="s">
        <v>38</v>
      </c>
      <c r="V80">
        <v>0</v>
      </c>
      <c r="W80">
        <v>0.53382050001528103</v>
      </c>
      <c r="X80" t="s">
        <v>33</v>
      </c>
      <c r="Y80">
        <v>328931</v>
      </c>
      <c r="Z80">
        <v>1</v>
      </c>
      <c r="AA80" t="s">
        <v>34</v>
      </c>
      <c r="AB80" t="s">
        <v>35</v>
      </c>
      <c r="AD80" t="s">
        <v>36</v>
      </c>
      <c r="AE80" t="s">
        <v>33</v>
      </c>
      <c r="AF80" t="s">
        <v>37</v>
      </c>
    </row>
    <row r="81" spans="1:32" x14ac:dyDescent="0.2">
      <c r="A81">
        <v>79</v>
      </c>
      <c r="B81">
        <v>0</v>
      </c>
      <c r="C81">
        <v>79</v>
      </c>
      <c r="D81">
        <v>3</v>
      </c>
      <c r="E81" t="s">
        <v>32</v>
      </c>
      <c r="F81">
        <v>0</v>
      </c>
      <c r="G81">
        <v>0.81931499901111204</v>
      </c>
      <c r="H81" t="s">
        <v>33</v>
      </c>
      <c r="I81">
        <v>79</v>
      </c>
      <c r="J81">
        <v>0</v>
      </c>
      <c r="K81">
        <v>79</v>
      </c>
      <c r="L81">
        <v>0</v>
      </c>
      <c r="M81">
        <v>153.654872249986</v>
      </c>
      <c r="O81">
        <v>153.64603816700401</v>
      </c>
      <c r="P81">
        <v>153.654872249986</v>
      </c>
      <c r="Q81">
        <v>154.646266916999</v>
      </c>
      <c r="R81">
        <v>154.646266916999</v>
      </c>
      <c r="S81">
        <v>155.47448695800199</v>
      </c>
      <c r="T81">
        <v>3</v>
      </c>
      <c r="U81" t="s">
        <v>32</v>
      </c>
      <c r="V81">
        <v>0</v>
      </c>
      <c r="W81">
        <v>0.81931499901111204</v>
      </c>
      <c r="X81" t="s">
        <v>33</v>
      </c>
      <c r="Y81">
        <v>328931</v>
      </c>
      <c r="Z81">
        <v>1</v>
      </c>
      <c r="AA81" t="s">
        <v>34</v>
      </c>
      <c r="AB81" t="s">
        <v>35</v>
      </c>
      <c r="AD81" t="s">
        <v>36</v>
      </c>
      <c r="AE81" t="s">
        <v>33</v>
      </c>
      <c r="AF81" t="s">
        <v>37</v>
      </c>
    </row>
    <row r="82" spans="1:32" x14ac:dyDescent="0.2">
      <c r="A82">
        <v>80</v>
      </c>
      <c r="B82">
        <v>0</v>
      </c>
      <c r="C82">
        <v>80</v>
      </c>
      <c r="D82">
        <v>4</v>
      </c>
      <c r="E82" t="s">
        <v>32</v>
      </c>
      <c r="F82">
        <v>0</v>
      </c>
      <c r="G82">
        <v>1.2531000830058401</v>
      </c>
      <c r="H82" t="s">
        <v>33</v>
      </c>
      <c r="I82">
        <v>80</v>
      </c>
      <c r="J82">
        <v>0</v>
      </c>
      <c r="K82">
        <v>80</v>
      </c>
      <c r="L82">
        <v>0</v>
      </c>
      <c r="M82">
        <v>155.48479124999699</v>
      </c>
      <c r="O82">
        <v>155.47543162500301</v>
      </c>
      <c r="P82">
        <v>155.48479124999699</v>
      </c>
      <c r="Q82">
        <v>156.472490291984</v>
      </c>
      <c r="R82">
        <v>156.47813312499699</v>
      </c>
      <c r="S82">
        <v>157.728611667</v>
      </c>
      <c r="T82">
        <v>4</v>
      </c>
      <c r="U82" t="s">
        <v>32</v>
      </c>
      <c r="V82">
        <v>0</v>
      </c>
      <c r="W82">
        <v>1.2531000830058401</v>
      </c>
      <c r="X82" t="s">
        <v>33</v>
      </c>
      <c r="Y82">
        <v>328931</v>
      </c>
      <c r="Z82">
        <v>1</v>
      </c>
      <c r="AA82" t="s">
        <v>34</v>
      </c>
      <c r="AB82" t="s">
        <v>35</v>
      </c>
      <c r="AD82" t="s">
        <v>36</v>
      </c>
      <c r="AE82" t="s">
        <v>33</v>
      </c>
      <c r="AF82" t="s">
        <v>37</v>
      </c>
    </row>
    <row r="83" spans="1:32" x14ac:dyDescent="0.2">
      <c r="A83">
        <v>81</v>
      </c>
      <c r="B83">
        <v>0</v>
      </c>
      <c r="C83">
        <v>81</v>
      </c>
      <c r="D83">
        <v>-5</v>
      </c>
      <c r="E83" t="s">
        <v>32</v>
      </c>
      <c r="F83">
        <v>0</v>
      </c>
      <c r="G83">
        <v>0.62410762399667796</v>
      </c>
      <c r="H83" t="s">
        <v>33</v>
      </c>
      <c r="I83">
        <v>81</v>
      </c>
      <c r="J83">
        <v>0</v>
      </c>
      <c r="K83">
        <v>81</v>
      </c>
      <c r="L83">
        <v>0</v>
      </c>
      <c r="M83">
        <v>157.737840457994</v>
      </c>
      <c r="O83">
        <v>157.729016666999</v>
      </c>
      <c r="P83">
        <v>157.737840457994</v>
      </c>
      <c r="Q83">
        <v>158.722458249976</v>
      </c>
      <c r="R83">
        <v>158.72799779198201</v>
      </c>
      <c r="S83">
        <v>159.35807699998199</v>
      </c>
      <c r="T83">
        <v>-5</v>
      </c>
      <c r="U83" t="s">
        <v>32</v>
      </c>
      <c r="V83">
        <v>0</v>
      </c>
      <c r="W83">
        <v>0.62410762399667796</v>
      </c>
      <c r="X83" t="s">
        <v>33</v>
      </c>
      <c r="Y83">
        <v>328931</v>
      </c>
      <c r="Z83">
        <v>1</v>
      </c>
      <c r="AA83" t="s">
        <v>34</v>
      </c>
      <c r="AB83" t="s">
        <v>35</v>
      </c>
      <c r="AD83" t="s">
        <v>36</v>
      </c>
      <c r="AE83" t="s">
        <v>33</v>
      </c>
      <c r="AF83" t="s">
        <v>37</v>
      </c>
    </row>
    <row r="84" spans="1:32" x14ac:dyDescent="0.2">
      <c r="A84">
        <v>82</v>
      </c>
      <c r="B84">
        <v>0</v>
      </c>
      <c r="C84">
        <v>82</v>
      </c>
      <c r="D84">
        <v>3</v>
      </c>
      <c r="E84" t="s">
        <v>32</v>
      </c>
      <c r="F84">
        <v>0</v>
      </c>
      <c r="G84">
        <v>0.71184358300524697</v>
      </c>
      <c r="H84" t="s">
        <v>33</v>
      </c>
      <c r="I84">
        <v>82</v>
      </c>
      <c r="J84">
        <v>0</v>
      </c>
      <c r="K84">
        <v>82</v>
      </c>
      <c r="L84">
        <v>0</v>
      </c>
      <c r="M84">
        <v>159.36870662498399</v>
      </c>
      <c r="O84">
        <v>159.358993166999</v>
      </c>
      <c r="P84">
        <v>159.36870662498399</v>
      </c>
      <c r="Q84">
        <v>160.355710542004</v>
      </c>
      <c r="R84">
        <v>160.36052333298699</v>
      </c>
      <c r="S84">
        <v>161.07458191699601</v>
      </c>
      <c r="T84">
        <v>3</v>
      </c>
      <c r="U84" t="s">
        <v>32</v>
      </c>
      <c r="V84">
        <v>0</v>
      </c>
      <c r="W84">
        <v>0.71184358300524697</v>
      </c>
      <c r="X84" t="s">
        <v>33</v>
      </c>
      <c r="Y84">
        <v>328931</v>
      </c>
      <c r="Z84">
        <v>1</v>
      </c>
      <c r="AA84" t="s">
        <v>34</v>
      </c>
      <c r="AB84" t="s">
        <v>35</v>
      </c>
      <c r="AD84" t="s">
        <v>36</v>
      </c>
      <c r="AE84" t="s">
        <v>33</v>
      </c>
      <c r="AF84" t="s">
        <v>37</v>
      </c>
    </row>
    <row r="85" spans="1:32" x14ac:dyDescent="0.2">
      <c r="A85">
        <v>83</v>
      </c>
      <c r="B85">
        <v>0</v>
      </c>
      <c r="C85">
        <v>83</v>
      </c>
      <c r="D85">
        <v>4</v>
      </c>
      <c r="E85" t="s">
        <v>32</v>
      </c>
      <c r="F85">
        <v>0</v>
      </c>
      <c r="G85">
        <v>0.63586179100093398</v>
      </c>
      <c r="H85" t="s">
        <v>33</v>
      </c>
      <c r="I85">
        <v>83</v>
      </c>
      <c r="J85">
        <v>0</v>
      </c>
      <c r="K85">
        <v>83</v>
      </c>
      <c r="L85">
        <v>0</v>
      </c>
      <c r="M85">
        <v>161.08473383297601</v>
      </c>
      <c r="O85">
        <v>161.07548808297699</v>
      </c>
      <c r="P85">
        <v>161.08473383297601</v>
      </c>
      <c r="Q85">
        <v>162.072624708001</v>
      </c>
      <c r="R85">
        <v>162.07896491698901</v>
      </c>
      <c r="S85">
        <v>162.71218099998001</v>
      </c>
      <c r="T85">
        <v>4</v>
      </c>
      <c r="U85" t="s">
        <v>32</v>
      </c>
      <c r="V85">
        <v>0</v>
      </c>
      <c r="W85">
        <v>0.63586179100093398</v>
      </c>
      <c r="X85" t="s">
        <v>33</v>
      </c>
      <c r="Y85">
        <v>328931</v>
      </c>
      <c r="Z85">
        <v>1</v>
      </c>
      <c r="AA85" t="s">
        <v>34</v>
      </c>
      <c r="AB85" t="s">
        <v>35</v>
      </c>
      <c r="AD85" t="s">
        <v>36</v>
      </c>
      <c r="AE85" t="s">
        <v>33</v>
      </c>
      <c r="AF85" t="s">
        <v>37</v>
      </c>
    </row>
    <row r="86" spans="1:32" x14ac:dyDescent="0.2">
      <c r="A86">
        <v>84</v>
      </c>
      <c r="B86">
        <v>0</v>
      </c>
      <c r="C86">
        <v>84</v>
      </c>
      <c r="D86">
        <v>-2</v>
      </c>
      <c r="E86" t="s">
        <v>32</v>
      </c>
      <c r="F86">
        <v>0</v>
      </c>
      <c r="G86">
        <v>0.93758479200187095</v>
      </c>
      <c r="H86" t="s">
        <v>33</v>
      </c>
      <c r="I86">
        <v>84</v>
      </c>
      <c r="J86">
        <v>0</v>
      </c>
      <c r="K86">
        <v>84</v>
      </c>
      <c r="L86">
        <v>0</v>
      </c>
      <c r="M86">
        <v>162.72160933297701</v>
      </c>
      <c r="O86">
        <v>162.712633291987</v>
      </c>
      <c r="P86">
        <v>162.72160933297701</v>
      </c>
      <c r="Q86">
        <v>163.70570674998399</v>
      </c>
      <c r="R86">
        <v>163.711418916995</v>
      </c>
      <c r="S86">
        <v>164.656555708003</v>
      </c>
      <c r="T86">
        <v>-2</v>
      </c>
      <c r="U86" t="s">
        <v>32</v>
      </c>
      <c r="V86">
        <v>0</v>
      </c>
      <c r="W86">
        <v>0.93758479200187095</v>
      </c>
      <c r="X86" t="s">
        <v>33</v>
      </c>
      <c r="Y86">
        <v>328931</v>
      </c>
      <c r="Z86">
        <v>1</v>
      </c>
      <c r="AA86" t="s">
        <v>34</v>
      </c>
      <c r="AB86" t="s">
        <v>35</v>
      </c>
      <c r="AD86" t="s">
        <v>36</v>
      </c>
      <c r="AE86" t="s">
        <v>33</v>
      </c>
      <c r="AF86" t="s">
        <v>37</v>
      </c>
    </row>
    <row r="87" spans="1:32" x14ac:dyDescent="0.2">
      <c r="A87">
        <v>85</v>
      </c>
      <c r="B87">
        <v>0</v>
      </c>
      <c r="C87">
        <v>85</v>
      </c>
      <c r="D87">
        <v>-2</v>
      </c>
      <c r="E87" t="s">
        <v>32</v>
      </c>
      <c r="F87">
        <v>0</v>
      </c>
      <c r="G87">
        <v>0.84264154199627195</v>
      </c>
      <c r="H87" t="s">
        <v>33</v>
      </c>
      <c r="I87">
        <v>85</v>
      </c>
      <c r="J87">
        <v>0</v>
      </c>
      <c r="K87">
        <v>85</v>
      </c>
      <c r="L87">
        <v>0</v>
      </c>
      <c r="M87">
        <v>164.66643379197899</v>
      </c>
      <c r="O87">
        <v>164.65720187500099</v>
      </c>
      <c r="P87">
        <v>164.66643379197899</v>
      </c>
      <c r="Q87">
        <v>165.64659358299099</v>
      </c>
      <c r="R87">
        <v>165.66029083298</v>
      </c>
      <c r="S87">
        <v>166.494089124986</v>
      </c>
      <c r="T87">
        <v>-2</v>
      </c>
      <c r="U87" t="s">
        <v>32</v>
      </c>
      <c r="V87">
        <v>0</v>
      </c>
      <c r="W87">
        <v>0.84264154199627195</v>
      </c>
      <c r="X87" t="s">
        <v>33</v>
      </c>
      <c r="Y87">
        <v>328931</v>
      </c>
      <c r="Z87">
        <v>1</v>
      </c>
      <c r="AA87" t="s">
        <v>34</v>
      </c>
      <c r="AB87" t="s">
        <v>35</v>
      </c>
      <c r="AD87" t="s">
        <v>36</v>
      </c>
      <c r="AE87" t="s">
        <v>33</v>
      </c>
      <c r="AF87" t="s">
        <v>37</v>
      </c>
    </row>
    <row r="88" spans="1:32" x14ac:dyDescent="0.2">
      <c r="A88">
        <v>86</v>
      </c>
      <c r="B88">
        <v>0</v>
      </c>
      <c r="C88">
        <v>86</v>
      </c>
      <c r="D88">
        <v>0</v>
      </c>
      <c r="E88" t="s">
        <v>38</v>
      </c>
      <c r="F88">
        <v>0</v>
      </c>
      <c r="G88">
        <v>0.68111787500674803</v>
      </c>
      <c r="H88" t="s">
        <v>33</v>
      </c>
      <c r="I88">
        <v>86</v>
      </c>
      <c r="J88">
        <v>0</v>
      </c>
      <c r="K88">
        <v>86</v>
      </c>
      <c r="L88">
        <v>0</v>
      </c>
      <c r="M88">
        <v>166.504368333</v>
      </c>
      <c r="O88">
        <v>166.494459916983</v>
      </c>
      <c r="P88">
        <v>166.504368333</v>
      </c>
      <c r="Q88">
        <v>167.48913345800199</v>
      </c>
      <c r="R88">
        <v>167.49477412499201</v>
      </c>
      <c r="S88">
        <v>168.17393862499699</v>
      </c>
      <c r="T88">
        <v>0</v>
      </c>
      <c r="U88" t="s">
        <v>38</v>
      </c>
      <c r="V88">
        <v>0</v>
      </c>
      <c r="W88">
        <v>0.68111787500674803</v>
      </c>
      <c r="X88" t="s">
        <v>33</v>
      </c>
      <c r="Y88">
        <v>328931</v>
      </c>
      <c r="Z88">
        <v>1</v>
      </c>
      <c r="AA88" t="s">
        <v>34</v>
      </c>
      <c r="AB88" t="s">
        <v>35</v>
      </c>
      <c r="AD88" t="s">
        <v>36</v>
      </c>
      <c r="AE88" t="s">
        <v>33</v>
      </c>
      <c r="AF88" t="s">
        <v>37</v>
      </c>
    </row>
    <row r="89" spans="1:32" x14ac:dyDescent="0.2">
      <c r="A89">
        <v>87</v>
      </c>
      <c r="B89">
        <v>0</v>
      </c>
      <c r="C89">
        <v>87</v>
      </c>
      <c r="D89">
        <v>-4</v>
      </c>
      <c r="E89" t="s">
        <v>32</v>
      </c>
      <c r="F89">
        <v>0</v>
      </c>
      <c r="G89">
        <v>0.88273324997862801</v>
      </c>
      <c r="H89" t="s">
        <v>33</v>
      </c>
      <c r="I89">
        <v>87</v>
      </c>
      <c r="J89">
        <v>0</v>
      </c>
      <c r="K89">
        <v>87</v>
      </c>
      <c r="L89">
        <v>0</v>
      </c>
      <c r="M89">
        <v>168.183971749997</v>
      </c>
      <c r="O89">
        <v>168.174509457981</v>
      </c>
      <c r="P89">
        <v>168.183971749997</v>
      </c>
      <c r="Q89">
        <v>169.17259733300301</v>
      </c>
      <c r="R89">
        <v>169.17863949999401</v>
      </c>
      <c r="S89">
        <v>170.057886541995</v>
      </c>
      <c r="T89">
        <v>-4</v>
      </c>
      <c r="U89" t="s">
        <v>32</v>
      </c>
      <c r="V89">
        <v>0</v>
      </c>
      <c r="W89">
        <v>0.88273324997862801</v>
      </c>
      <c r="X89" t="s">
        <v>33</v>
      </c>
      <c r="Y89">
        <v>328931</v>
      </c>
      <c r="Z89">
        <v>1</v>
      </c>
      <c r="AA89" t="s">
        <v>34</v>
      </c>
      <c r="AB89" t="s">
        <v>35</v>
      </c>
      <c r="AD89" t="s">
        <v>36</v>
      </c>
      <c r="AE89" t="s">
        <v>33</v>
      </c>
      <c r="AF89" t="s">
        <v>37</v>
      </c>
    </row>
    <row r="90" spans="1:32" x14ac:dyDescent="0.2">
      <c r="A90">
        <v>88</v>
      </c>
      <c r="B90">
        <v>0</v>
      </c>
      <c r="C90">
        <v>88</v>
      </c>
      <c r="D90">
        <v>0</v>
      </c>
      <c r="E90" t="s">
        <v>38</v>
      </c>
      <c r="F90">
        <v>0</v>
      </c>
      <c r="G90">
        <v>0.65666154198697702</v>
      </c>
      <c r="H90" t="s">
        <v>33</v>
      </c>
      <c r="I90">
        <v>88</v>
      </c>
      <c r="J90">
        <v>0</v>
      </c>
      <c r="K90">
        <v>88</v>
      </c>
      <c r="L90">
        <v>0</v>
      </c>
      <c r="M90">
        <v>170.06762208297701</v>
      </c>
      <c r="O90">
        <v>170.05851862498</v>
      </c>
      <c r="P90">
        <v>170.06762208297701</v>
      </c>
      <c r="Q90">
        <v>171.05563720798801</v>
      </c>
      <c r="R90">
        <v>171.060152999998</v>
      </c>
      <c r="S90">
        <v>171.72382770798799</v>
      </c>
      <c r="T90">
        <v>0</v>
      </c>
      <c r="U90" t="s">
        <v>38</v>
      </c>
      <c r="V90">
        <v>0</v>
      </c>
      <c r="W90">
        <v>0.65666154198697702</v>
      </c>
      <c r="X90" t="s">
        <v>33</v>
      </c>
      <c r="Y90">
        <v>328931</v>
      </c>
      <c r="Z90">
        <v>1</v>
      </c>
      <c r="AA90" t="s">
        <v>34</v>
      </c>
      <c r="AB90" t="s">
        <v>35</v>
      </c>
      <c r="AD90" t="s">
        <v>36</v>
      </c>
      <c r="AE90" t="s">
        <v>33</v>
      </c>
      <c r="AF90" t="s">
        <v>37</v>
      </c>
    </row>
    <row r="91" spans="1:32" x14ac:dyDescent="0.2">
      <c r="A91">
        <v>89</v>
      </c>
      <c r="B91">
        <v>0</v>
      </c>
      <c r="C91">
        <v>89</v>
      </c>
      <c r="D91">
        <v>4</v>
      </c>
      <c r="E91" t="s">
        <v>32</v>
      </c>
      <c r="F91">
        <v>0</v>
      </c>
      <c r="G91">
        <v>0.51973833297961303</v>
      </c>
      <c r="H91" t="s">
        <v>33</v>
      </c>
      <c r="I91">
        <v>89</v>
      </c>
      <c r="J91">
        <v>0</v>
      </c>
      <c r="K91">
        <v>89</v>
      </c>
      <c r="L91">
        <v>0</v>
      </c>
      <c r="M91">
        <v>171.73317845800099</v>
      </c>
      <c r="O91">
        <v>171.72430025000301</v>
      </c>
      <c r="P91">
        <v>171.73317845800099</v>
      </c>
      <c r="Q91">
        <v>172.72247354200201</v>
      </c>
      <c r="R91">
        <v>172.728086916991</v>
      </c>
      <c r="S91">
        <v>173.244543541979</v>
      </c>
      <c r="T91">
        <v>4</v>
      </c>
      <c r="U91" t="s">
        <v>32</v>
      </c>
      <c r="V91">
        <v>0</v>
      </c>
      <c r="W91">
        <v>0.51973833297961303</v>
      </c>
      <c r="X91" t="s">
        <v>33</v>
      </c>
      <c r="Y91">
        <v>328931</v>
      </c>
      <c r="Z91">
        <v>1</v>
      </c>
      <c r="AA91" t="s">
        <v>34</v>
      </c>
      <c r="AB91" t="s">
        <v>35</v>
      </c>
      <c r="AD91" t="s">
        <v>36</v>
      </c>
      <c r="AE91" t="s">
        <v>33</v>
      </c>
      <c r="AF91" t="s">
        <v>37</v>
      </c>
    </row>
    <row r="92" spans="1:32" x14ac:dyDescent="0.2">
      <c r="A92">
        <v>90</v>
      </c>
      <c r="B92">
        <v>0</v>
      </c>
      <c r="C92">
        <v>90</v>
      </c>
      <c r="D92">
        <v>2</v>
      </c>
      <c r="E92" t="s">
        <v>32</v>
      </c>
      <c r="F92">
        <v>0</v>
      </c>
      <c r="G92">
        <v>1.03703333300654</v>
      </c>
      <c r="H92" t="s">
        <v>33</v>
      </c>
      <c r="I92">
        <v>90</v>
      </c>
      <c r="J92">
        <v>0</v>
      </c>
      <c r="K92">
        <v>90</v>
      </c>
      <c r="L92">
        <v>0</v>
      </c>
      <c r="M92">
        <v>173.25448945799101</v>
      </c>
      <c r="O92">
        <v>173.24495312498701</v>
      </c>
      <c r="P92">
        <v>173.25448945799101</v>
      </c>
      <c r="Q92">
        <v>174.23914766698701</v>
      </c>
      <c r="R92">
        <v>174.244743416988</v>
      </c>
      <c r="S92">
        <v>175.278555791999</v>
      </c>
      <c r="T92">
        <v>2</v>
      </c>
      <c r="U92" t="s">
        <v>32</v>
      </c>
      <c r="V92">
        <v>0</v>
      </c>
      <c r="W92">
        <v>1.03703333300654</v>
      </c>
      <c r="X92" t="s">
        <v>33</v>
      </c>
      <c r="Y92">
        <v>328931</v>
      </c>
      <c r="Z92">
        <v>1</v>
      </c>
      <c r="AA92" t="s">
        <v>34</v>
      </c>
      <c r="AB92" t="s">
        <v>35</v>
      </c>
      <c r="AD92" t="s">
        <v>36</v>
      </c>
      <c r="AE92" t="s">
        <v>33</v>
      </c>
      <c r="AF92" t="s">
        <v>37</v>
      </c>
    </row>
    <row r="93" spans="1:32" x14ac:dyDescent="0.2">
      <c r="A93">
        <v>91</v>
      </c>
      <c r="B93">
        <v>0</v>
      </c>
      <c r="C93">
        <v>91</v>
      </c>
      <c r="D93">
        <v>0</v>
      </c>
      <c r="E93" t="s">
        <v>38</v>
      </c>
      <c r="F93">
        <v>0</v>
      </c>
      <c r="G93">
        <v>0.53883516698260703</v>
      </c>
      <c r="H93" t="s">
        <v>33</v>
      </c>
      <c r="I93">
        <v>91</v>
      </c>
      <c r="J93">
        <v>0</v>
      </c>
      <c r="K93">
        <v>91</v>
      </c>
      <c r="L93">
        <v>0</v>
      </c>
      <c r="M93">
        <v>175.287869082996</v>
      </c>
      <c r="O93">
        <v>175.27901012499899</v>
      </c>
      <c r="P93">
        <v>175.287869082996</v>
      </c>
      <c r="Q93">
        <v>176.27223474997999</v>
      </c>
      <c r="R93">
        <v>176.276904208003</v>
      </c>
      <c r="S93">
        <v>176.82328412498401</v>
      </c>
      <c r="T93">
        <v>0</v>
      </c>
      <c r="U93" t="s">
        <v>38</v>
      </c>
      <c r="V93">
        <v>0</v>
      </c>
      <c r="W93">
        <v>0.53883516698260703</v>
      </c>
      <c r="X93" t="s">
        <v>33</v>
      </c>
      <c r="Y93">
        <v>328931</v>
      </c>
      <c r="Z93">
        <v>1</v>
      </c>
      <c r="AA93" t="s">
        <v>34</v>
      </c>
      <c r="AB93" t="s">
        <v>35</v>
      </c>
      <c r="AD93" t="s">
        <v>36</v>
      </c>
      <c r="AE93" t="s">
        <v>33</v>
      </c>
      <c r="AF93" t="s">
        <v>37</v>
      </c>
    </row>
    <row r="94" spans="1:32" x14ac:dyDescent="0.2">
      <c r="A94">
        <v>92</v>
      </c>
      <c r="B94">
        <v>0</v>
      </c>
      <c r="C94">
        <v>92</v>
      </c>
      <c r="D94">
        <v>0</v>
      </c>
      <c r="E94" t="s">
        <v>38</v>
      </c>
      <c r="F94">
        <v>0</v>
      </c>
      <c r="G94">
        <v>0.59947499999543596</v>
      </c>
      <c r="H94" t="s">
        <v>33</v>
      </c>
      <c r="I94">
        <v>92</v>
      </c>
      <c r="J94">
        <v>0</v>
      </c>
      <c r="K94">
        <v>92</v>
      </c>
      <c r="L94">
        <v>0</v>
      </c>
      <c r="M94">
        <v>176.83349129199601</v>
      </c>
      <c r="O94">
        <v>176.82392412499701</v>
      </c>
      <c r="P94">
        <v>176.83349129199601</v>
      </c>
      <c r="Q94">
        <v>177.82247816698501</v>
      </c>
      <c r="R94">
        <v>177.828732041991</v>
      </c>
      <c r="S94">
        <v>178.42388737498499</v>
      </c>
      <c r="T94">
        <v>0</v>
      </c>
      <c r="U94" t="s">
        <v>38</v>
      </c>
      <c r="V94">
        <v>0</v>
      </c>
      <c r="W94">
        <v>0.59947499999543596</v>
      </c>
      <c r="X94" t="s">
        <v>33</v>
      </c>
      <c r="Y94">
        <v>328931</v>
      </c>
      <c r="Z94">
        <v>1</v>
      </c>
      <c r="AA94" t="s">
        <v>34</v>
      </c>
      <c r="AB94" t="s">
        <v>35</v>
      </c>
      <c r="AD94" t="s">
        <v>36</v>
      </c>
      <c r="AE94" t="s">
        <v>33</v>
      </c>
      <c r="AF94" t="s">
        <v>37</v>
      </c>
    </row>
    <row r="95" spans="1:32" x14ac:dyDescent="0.2">
      <c r="A95">
        <v>93</v>
      </c>
      <c r="B95">
        <v>0</v>
      </c>
      <c r="C95">
        <v>93</v>
      </c>
      <c r="D95">
        <v>-4</v>
      </c>
      <c r="E95" t="s">
        <v>32</v>
      </c>
      <c r="F95">
        <v>0</v>
      </c>
      <c r="G95">
        <v>0.83246549899922595</v>
      </c>
      <c r="H95" t="s">
        <v>33</v>
      </c>
      <c r="I95">
        <v>93</v>
      </c>
      <c r="J95">
        <v>0</v>
      </c>
      <c r="K95">
        <v>93</v>
      </c>
      <c r="L95">
        <v>0</v>
      </c>
      <c r="M95">
        <v>178.43374204199</v>
      </c>
      <c r="O95">
        <v>178.424489583005</v>
      </c>
      <c r="P95">
        <v>178.43374204199</v>
      </c>
      <c r="Q95">
        <v>179.42259608299301</v>
      </c>
      <c r="R95">
        <v>179.42870724998599</v>
      </c>
      <c r="S95">
        <v>180.25712795800001</v>
      </c>
      <c r="T95">
        <v>-4</v>
      </c>
      <c r="U95" t="s">
        <v>32</v>
      </c>
      <c r="V95">
        <v>0</v>
      </c>
      <c r="W95">
        <v>0.83246549899922595</v>
      </c>
      <c r="X95" t="s">
        <v>33</v>
      </c>
      <c r="Y95">
        <v>328931</v>
      </c>
      <c r="Z95">
        <v>1</v>
      </c>
      <c r="AA95" t="s">
        <v>34</v>
      </c>
      <c r="AB95" t="s">
        <v>35</v>
      </c>
      <c r="AD95" t="s">
        <v>36</v>
      </c>
      <c r="AE95" t="s">
        <v>33</v>
      </c>
      <c r="AF95" t="s">
        <v>37</v>
      </c>
    </row>
    <row r="96" spans="1:32" x14ac:dyDescent="0.2">
      <c r="A96">
        <v>94</v>
      </c>
      <c r="B96">
        <v>0</v>
      </c>
      <c r="C96">
        <v>94</v>
      </c>
      <c r="D96">
        <v>0</v>
      </c>
      <c r="E96" t="s">
        <v>38</v>
      </c>
      <c r="F96">
        <v>0</v>
      </c>
      <c r="G96">
        <v>0.66925083301612098</v>
      </c>
      <c r="H96" t="s">
        <v>33</v>
      </c>
      <c r="I96">
        <v>94</v>
      </c>
      <c r="J96">
        <v>0</v>
      </c>
      <c r="K96">
        <v>94</v>
      </c>
      <c r="L96">
        <v>0</v>
      </c>
      <c r="M96">
        <v>180.266503166989</v>
      </c>
      <c r="O96">
        <v>180.25765570800201</v>
      </c>
      <c r="P96">
        <v>180.266503166989</v>
      </c>
      <c r="Q96">
        <v>181.25578949999101</v>
      </c>
      <c r="R96">
        <v>181.261394917004</v>
      </c>
      <c r="S96">
        <v>181.92884441697899</v>
      </c>
      <c r="T96">
        <v>0</v>
      </c>
      <c r="U96" t="s">
        <v>38</v>
      </c>
      <c r="V96">
        <v>0</v>
      </c>
      <c r="W96">
        <v>0.66925083301612098</v>
      </c>
      <c r="X96" t="s">
        <v>33</v>
      </c>
      <c r="Y96">
        <v>328931</v>
      </c>
      <c r="Z96">
        <v>1</v>
      </c>
      <c r="AA96" t="s">
        <v>34</v>
      </c>
      <c r="AB96" t="s">
        <v>35</v>
      </c>
      <c r="AD96" t="s">
        <v>36</v>
      </c>
      <c r="AE96" t="s">
        <v>33</v>
      </c>
      <c r="AF96" t="s">
        <v>37</v>
      </c>
    </row>
    <row r="97" spans="1:32" x14ac:dyDescent="0.2">
      <c r="A97">
        <v>95</v>
      </c>
      <c r="B97">
        <v>0</v>
      </c>
      <c r="C97">
        <v>95</v>
      </c>
      <c r="D97">
        <v>0</v>
      </c>
      <c r="E97" t="s">
        <v>38</v>
      </c>
      <c r="F97">
        <v>0</v>
      </c>
      <c r="G97">
        <v>0.96412383299320903</v>
      </c>
      <c r="H97" t="s">
        <v>33</v>
      </c>
      <c r="I97">
        <v>95</v>
      </c>
      <c r="J97">
        <v>0</v>
      </c>
      <c r="K97">
        <v>95</v>
      </c>
      <c r="L97">
        <v>0</v>
      </c>
      <c r="M97">
        <v>181.93820795798001</v>
      </c>
      <c r="O97">
        <v>181.929279791977</v>
      </c>
      <c r="P97">
        <v>181.93820795798001</v>
      </c>
      <c r="Q97">
        <v>182.92186183299</v>
      </c>
      <c r="R97">
        <v>182.92688929199301</v>
      </c>
      <c r="S97">
        <v>183.89064587498399</v>
      </c>
      <c r="T97">
        <v>0</v>
      </c>
      <c r="U97" t="s">
        <v>38</v>
      </c>
      <c r="V97">
        <v>0</v>
      </c>
      <c r="W97">
        <v>0.96412383299320903</v>
      </c>
      <c r="X97" t="s">
        <v>33</v>
      </c>
      <c r="Y97">
        <v>328931</v>
      </c>
      <c r="Z97">
        <v>1</v>
      </c>
      <c r="AA97" t="s">
        <v>34</v>
      </c>
      <c r="AB97" t="s">
        <v>35</v>
      </c>
      <c r="AD97" t="s">
        <v>36</v>
      </c>
      <c r="AE97" t="s">
        <v>33</v>
      </c>
      <c r="AF97" t="s">
        <v>37</v>
      </c>
    </row>
    <row r="98" spans="1:32" x14ac:dyDescent="0.2">
      <c r="A98">
        <v>96</v>
      </c>
      <c r="B98">
        <v>0</v>
      </c>
      <c r="C98">
        <v>96</v>
      </c>
      <c r="D98">
        <v>4</v>
      </c>
      <c r="E98" t="s">
        <v>32</v>
      </c>
      <c r="F98">
        <v>0</v>
      </c>
      <c r="G98">
        <v>0.65279741698759597</v>
      </c>
      <c r="H98" t="s">
        <v>33</v>
      </c>
      <c r="I98">
        <v>96</v>
      </c>
      <c r="J98">
        <v>0</v>
      </c>
      <c r="K98">
        <v>96</v>
      </c>
      <c r="L98">
        <v>0</v>
      </c>
      <c r="M98">
        <v>183.90032699998099</v>
      </c>
      <c r="O98">
        <v>183.89111716698901</v>
      </c>
      <c r="P98">
        <v>183.90032699998099</v>
      </c>
      <c r="Q98">
        <v>184.88916070799999</v>
      </c>
      <c r="R98">
        <v>184.894819042005</v>
      </c>
      <c r="S98">
        <v>185.545773166988</v>
      </c>
      <c r="T98">
        <v>4</v>
      </c>
      <c r="U98" t="s">
        <v>32</v>
      </c>
      <c r="V98">
        <v>0</v>
      </c>
      <c r="W98">
        <v>0.65279741698759597</v>
      </c>
      <c r="X98" t="s">
        <v>33</v>
      </c>
      <c r="Y98">
        <v>328931</v>
      </c>
      <c r="Z98">
        <v>1</v>
      </c>
      <c r="AA98" t="s">
        <v>34</v>
      </c>
      <c r="AB98" t="s">
        <v>35</v>
      </c>
      <c r="AD98" t="s">
        <v>36</v>
      </c>
      <c r="AE98" t="s">
        <v>33</v>
      </c>
      <c r="AF98" t="s">
        <v>37</v>
      </c>
    </row>
    <row r="99" spans="1:32" x14ac:dyDescent="0.2">
      <c r="A99">
        <v>97</v>
      </c>
      <c r="B99">
        <v>0</v>
      </c>
      <c r="C99">
        <v>97</v>
      </c>
      <c r="D99">
        <v>0</v>
      </c>
      <c r="E99" t="s">
        <v>32</v>
      </c>
      <c r="F99">
        <v>1</v>
      </c>
      <c r="G99">
        <v>0.99074320800718796</v>
      </c>
      <c r="H99" t="s">
        <v>33</v>
      </c>
      <c r="I99">
        <v>97</v>
      </c>
      <c r="J99">
        <v>0</v>
      </c>
      <c r="K99">
        <v>97</v>
      </c>
      <c r="L99">
        <v>0</v>
      </c>
      <c r="M99">
        <v>185.55515279198801</v>
      </c>
      <c r="O99">
        <v>185.54623254199299</v>
      </c>
      <c r="P99">
        <v>185.55515279198801</v>
      </c>
      <c r="Q99">
        <v>186.54619787499499</v>
      </c>
      <c r="R99">
        <v>186.54619787499499</v>
      </c>
      <c r="S99">
        <v>187.54118845798001</v>
      </c>
      <c r="T99">
        <v>0</v>
      </c>
      <c r="U99" t="s">
        <v>32</v>
      </c>
      <c r="V99">
        <v>1</v>
      </c>
      <c r="W99">
        <v>0.99074320800718796</v>
      </c>
      <c r="X99" t="s">
        <v>33</v>
      </c>
      <c r="Y99">
        <v>328931</v>
      </c>
      <c r="Z99">
        <v>1</v>
      </c>
      <c r="AA99" t="s">
        <v>34</v>
      </c>
      <c r="AB99" t="s">
        <v>35</v>
      </c>
      <c r="AD99" t="s">
        <v>36</v>
      </c>
      <c r="AE99" t="s">
        <v>33</v>
      </c>
      <c r="AF99" t="s">
        <v>37</v>
      </c>
    </row>
    <row r="100" spans="1:32" x14ac:dyDescent="0.2">
      <c r="A100">
        <v>98</v>
      </c>
      <c r="B100">
        <v>0</v>
      </c>
      <c r="C100">
        <v>98</v>
      </c>
      <c r="D100">
        <v>-4</v>
      </c>
      <c r="E100" t="s">
        <v>38</v>
      </c>
      <c r="F100">
        <v>1</v>
      </c>
      <c r="G100">
        <v>3.9552970830118199</v>
      </c>
      <c r="H100" t="s">
        <v>33</v>
      </c>
      <c r="I100">
        <v>98</v>
      </c>
      <c r="J100">
        <v>0</v>
      </c>
      <c r="K100">
        <v>98</v>
      </c>
      <c r="L100">
        <v>0</v>
      </c>
      <c r="M100">
        <v>187.55144174999401</v>
      </c>
      <c r="O100">
        <v>187.542007332987</v>
      </c>
      <c r="P100">
        <v>187.55144174999401</v>
      </c>
      <c r="Q100">
        <v>188.53917458298301</v>
      </c>
      <c r="R100">
        <v>188.54497774998799</v>
      </c>
      <c r="S100">
        <v>192.507846666994</v>
      </c>
      <c r="T100">
        <v>-4</v>
      </c>
      <c r="U100" t="s">
        <v>38</v>
      </c>
      <c r="V100">
        <v>1</v>
      </c>
      <c r="W100">
        <v>3.9552970830118199</v>
      </c>
      <c r="X100" t="s">
        <v>33</v>
      </c>
      <c r="Y100">
        <v>328931</v>
      </c>
      <c r="Z100">
        <v>1</v>
      </c>
      <c r="AA100" t="s">
        <v>34</v>
      </c>
      <c r="AB100" t="s">
        <v>35</v>
      </c>
      <c r="AD100" t="s">
        <v>36</v>
      </c>
      <c r="AE100" t="s">
        <v>33</v>
      </c>
      <c r="AF100" t="s">
        <v>37</v>
      </c>
    </row>
    <row r="101" spans="1:32" x14ac:dyDescent="0.2">
      <c r="A101">
        <v>99</v>
      </c>
      <c r="B101">
        <v>0</v>
      </c>
      <c r="C101">
        <v>99</v>
      </c>
      <c r="D101">
        <v>0</v>
      </c>
      <c r="E101" t="s">
        <v>38</v>
      </c>
      <c r="F101">
        <v>0</v>
      </c>
      <c r="G101">
        <v>0.63723608298459999</v>
      </c>
      <c r="H101" t="s">
        <v>33</v>
      </c>
      <c r="I101">
        <v>99</v>
      </c>
      <c r="J101">
        <v>0</v>
      </c>
      <c r="K101">
        <v>99</v>
      </c>
      <c r="L101">
        <v>0</v>
      </c>
      <c r="M101">
        <v>192.52297970798099</v>
      </c>
      <c r="O101">
        <v>192.50829708299699</v>
      </c>
      <c r="P101">
        <v>192.52297970798099</v>
      </c>
      <c r="Q101">
        <v>193.50579133298001</v>
      </c>
      <c r="R101">
        <v>193.51134966698001</v>
      </c>
      <c r="S101">
        <v>194.145992916979</v>
      </c>
      <c r="T101">
        <v>0</v>
      </c>
      <c r="U101" t="s">
        <v>38</v>
      </c>
      <c r="V101">
        <v>0</v>
      </c>
      <c r="W101">
        <v>0.63723608298459999</v>
      </c>
      <c r="X101" t="s">
        <v>33</v>
      </c>
      <c r="Y101">
        <v>328931</v>
      </c>
      <c r="Z101">
        <v>1</v>
      </c>
      <c r="AA101" t="s">
        <v>34</v>
      </c>
      <c r="AB101" t="s">
        <v>35</v>
      </c>
      <c r="AD101" t="s">
        <v>36</v>
      </c>
      <c r="AE101" t="s">
        <v>33</v>
      </c>
      <c r="AF101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0"/>
  <sheetViews>
    <sheetView tabSelected="1" workbookViewId="0">
      <selection activeCell="J12" sqref="J12"/>
    </sheetView>
  </sheetViews>
  <sheetFormatPr baseColWidth="10" defaultRowHeight="16" x14ac:dyDescent="0.2"/>
  <cols>
    <col min="2" max="3" width="17.1640625" customWidth="1"/>
    <col min="10" max="10" width="21" customWidth="1"/>
    <col min="11" max="11" width="28.33203125" customWidth="1"/>
    <col min="12" max="12" width="29.33203125" customWidth="1"/>
    <col min="13" max="13" width="22" customWidth="1"/>
  </cols>
  <sheetData>
    <row r="1" spans="1:13" x14ac:dyDescent="0.2">
      <c r="A1" t="s">
        <v>0</v>
      </c>
      <c r="B1" t="s">
        <v>20</v>
      </c>
      <c r="C1" t="s">
        <v>21</v>
      </c>
      <c r="D1" t="s">
        <v>3</v>
      </c>
      <c r="F1" s="1" t="s">
        <v>42</v>
      </c>
      <c r="G1" s="5" t="s">
        <v>43</v>
      </c>
      <c r="H1" s="6" t="s">
        <v>45</v>
      </c>
      <c r="I1" s="7" t="s">
        <v>44</v>
      </c>
      <c r="L1" s="4" t="s">
        <v>39</v>
      </c>
      <c r="M1" s="3"/>
    </row>
    <row r="2" spans="1:13" x14ac:dyDescent="0.2">
      <c r="A2">
        <v>0</v>
      </c>
      <c r="B2" t="s">
        <v>32</v>
      </c>
      <c r="C2">
        <v>0</v>
      </c>
      <c r="D2">
        <v>4</v>
      </c>
      <c r="E2" t="s">
        <v>55</v>
      </c>
      <c r="H2">
        <v>1</v>
      </c>
    </row>
    <row r="3" spans="1:13" x14ac:dyDescent="0.2">
      <c r="A3">
        <v>1</v>
      </c>
      <c r="B3" t="s">
        <v>32</v>
      </c>
      <c r="C3">
        <v>0</v>
      </c>
      <c r="D3">
        <v>1</v>
      </c>
      <c r="E3" t="s">
        <v>55</v>
      </c>
      <c r="H3">
        <v>1</v>
      </c>
      <c r="K3" s="13" t="s">
        <v>46</v>
      </c>
      <c r="L3" s="14" t="s">
        <v>47</v>
      </c>
      <c r="M3" s="14" t="s">
        <v>48</v>
      </c>
    </row>
    <row r="4" spans="1:13" x14ac:dyDescent="0.2">
      <c r="A4">
        <v>2</v>
      </c>
      <c r="B4" t="s">
        <v>32</v>
      </c>
      <c r="C4">
        <v>1</v>
      </c>
      <c r="D4">
        <v>0</v>
      </c>
      <c r="E4" t="s">
        <v>56</v>
      </c>
      <c r="F4">
        <v>1</v>
      </c>
      <c r="K4" s="14" t="s">
        <v>49</v>
      </c>
      <c r="L4" s="15" t="s">
        <v>50</v>
      </c>
      <c r="M4" s="16" t="s">
        <v>51</v>
      </c>
    </row>
    <row r="5" spans="1:13" x14ac:dyDescent="0.2">
      <c r="A5">
        <v>3</v>
      </c>
      <c r="B5" t="s">
        <v>32</v>
      </c>
      <c r="C5">
        <v>1</v>
      </c>
      <c r="D5">
        <v>0</v>
      </c>
      <c r="E5" t="s">
        <v>56</v>
      </c>
      <c r="F5">
        <v>1</v>
      </c>
      <c r="K5" s="14" t="s">
        <v>52</v>
      </c>
      <c r="L5" s="17" t="s">
        <v>53</v>
      </c>
      <c r="M5" s="18" t="s">
        <v>54</v>
      </c>
    </row>
    <row r="6" spans="1:13" x14ac:dyDescent="0.2">
      <c r="A6">
        <v>4</v>
      </c>
      <c r="B6" t="s">
        <v>32</v>
      </c>
      <c r="C6">
        <v>0</v>
      </c>
      <c r="D6">
        <v>-4</v>
      </c>
      <c r="E6" t="s">
        <v>55</v>
      </c>
      <c r="H6">
        <v>1</v>
      </c>
      <c r="K6" s="10"/>
      <c r="L6" s="10"/>
      <c r="M6" s="10"/>
    </row>
    <row r="7" spans="1:13" x14ac:dyDescent="0.2">
      <c r="A7">
        <v>5</v>
      </c>
      <c r="B7" t="s">
        <v>38</v>
      </c>
      <c r="C7">
        <v>0</v>
      </c>
      <c r="D7">
        <v>0</v>
      </c>
      <c r="E7" t="s">
        <v>56</v>
      </c>
      <c r="G7">
        <v>1</v>
      </c>
    </row>
    <row r="8" spans="1:13" x14ac:dyDescent="0.2">
      <c r="A8">
        <v>6</v>
      </c>
      <c r="B8" t="s">
        <v>38</v>
      </c>
      <c r="C8">
        <v>0</v>
      </c>
      <c r="D8">
        <v>0</v>
      </c>
      <c r="E8" t="s">
        <v>56</v>
      </c>
      <c r="G8">
        <v>1</v>
      </c>
    </row>
    <row r="9" spans="1:13" x14ac:dyDescent="0.2">
      <c r="A9">
        <v>7</v>
      </c>
      <c r="B9" t="s">
        <v>32</v>
      </c>
      <c r="C9">
        <v>0</v>
      </c>
      <c r="D9">
        <v>-4</v>
      </c>
      <c r="E9" t="s">
        <v>55</v>
      </c>
      <c r="H9">
        <v>1</v>
      </c>
    </row>
    <row r="10" spans="1:13" x14ac:dyDescent="0.2">
      <c r="A10">
        <v>8</v>
      </c>
      <c r="B10" t="s">
        <v>32</v>
      </c>
      <c r="C10">
        <v>1</v>
      </c>
      <c r="D10">
        <v>0</v>
      </c>
      <c r="E10" t="s">
        <v>56</v>
      </c>
      <c r="F10">
        <v>1</v>
      </c>
    </row>
    <row r="11" spans="1:13" x14ac:dyDescent="0.2">
      <c r="A11">
        <v>9</v>
      </c>
      <c r="B11" t="s">
        <v>32</v>
      </c>
      <c r="C11">
        <v>1</v>
      </c>
      <c r="D11">
        <v>0</v>
      </c>
      <c r="E11" t="s">
        <v>56</v>
      </c>
      <c r="F11">
        <v>1</v>
      </c>
    </row>
    <row r="12" spans="1:13" x14ac:dyDescent="0.2">
      <c r="A12">
        <v>10</v>
      </c>
      <c r="B12" t="s">
        <v>32</v>
      </c>
      <c r="C12">
        <v>0</v>
      </c>
      <c r="D12">
        <v>4</v>
      </c>
      <c r="E12" t="s">
        <v>55</v>
      </c>
      <c r="H12">
        <v>1</v>
      </c>
    </row>
    <row r="13" spans="1:13" x14ac:dyDescent="0.2">
      <c r="A13">
        <v>11</v>
      </c>
      <c r="B13" t="s">
        <v>32</v>
      </c>
      <c r="C13">
        <v>1</v>
      </c>
      <c r="D13">
        <v>0</v>
      </c>
      <c r="E13" t="s">
        <v>56</v>
      </c>
      <c r="F13">
        <v>1</v>
      </c>
    </row>
    <row r="14" spans="1:13" x14ac:dyDescent="0.2">
      <c r="A14">
        <v>12</v>
      </c>
      <c r="B14" t="s">
        <v>38</v>
      </c>
      <c r="C14">
        <v>0</v>
      </c>
      <c r="D14">
        <v>0</v>
      </c>
      <c r="E14" t="s">
        <v>56</v>
      </c>
      <c r="G14">
        <v>1</v>
      </c>
    </row>
    <row r="15" spans="1:13" x14ac:dyDescent="0.2">
      <c r="A15">
        <v>13</v>
      </c>
      <c r="B15" t="s">
        <v>38</v>
      </c>
      <c r="C15">
        <v>1</v>
      </c>
      <c r="D15">
        <v>1</v>
      </c>
      <c r="E15" t="s">
        <v>55</v>
      </c>
      <c r="I15">
        <v>1</v>
      </c>
    </row>
    <row r="16" spans="1:13" x14ac:dyDescent="0.2">
      <c r="A16">
        <v>14</v>
      </c>
      <c r="B16" t="s">
        <v>38</v>
      </c>
      <c r="C16">
        <v>1</v>
      </c>
      <c r="D16">
        <v>1</v>
      </c>
      <c r="E16" t="s">
        <v>55</v>
      </c>
      <c r="I16">
        <v>1</v>
      </c>
    </row>
    <row r="17" spans="1:12" x14ac:dyDescent="0.2">
      <c r="A17">
        <v>15</v>
      </c>
      <c r="B17" t="s">
        <v>32</v>
      </c>
      <c r="C17">
        <v>1</v>
      </c>
      <c r="D17">
        <v>0</v>
      </c>
      <c r="E17" t="s">
        <v>56</v>
      </c>
      <c r="F17">
        <v>1</v>
      </c>
    </row>
    <row r="18" spans="1:12" x14ac:dyDescent="0.2">
      <c r="A18">
        <v>16</v>
      </c>
      <c r="B18" t="s">
        <v>32</v>
      </c>
      <c r="C18">
        <v>0</v>
      </c>
      <c r="D18">
        <v>-3</v>
      </c>
      <c r="E18" s="3" t="s">
        <v>55</v>
      </c>
      <c r="H18">
        <v>1</v>
      </c>
    </row>
    <row r="19" spans="1:12" x14ac:dyDescent="0.2">
      <c r="A19">
        <v>17</v>
      </c>
      <c r="B19" t="s">
        <v>32</v>
      </c>
      <c r="C19">
        <v>1</v>
      </c>
      <c r="D19">
        <v>0</v>
      </c>
      <c r="E19" t="s">
        <v>56</v>
      </c>
      <c r="F19">
        <v>1</v>
      </c>
      <c r="K19" s="9" t="s">
        <v>59</v>
      </c>
      <c r="L19" s="10">
        <f>F102/(F102+G102)</f>
        <v>0.41818181818181815</v>
      </c>
    </row>
    <row r="20" spans="1:12" x14ac:dyDescent="0.2">
      <c r="A20">
        <v>18</v>
      </c>
      <c r="B20" t="s">
        <v>32</v>
      </c>
      <c r="C20">
        <v>1</v>
      </c>
      <c r="D20">
        <v>0</v>
      </c>
      <c r="E20" t="s">
        <v>56</v>
      </c>
      <c r="F20">
        <v>1</v>
      </c>
      <c r="K20" s="10" t="s">
        <v>60</v>
      </c>
      <c r="L20" s="10">
        <f>H102/(H102+I102)</f>
        <v>0.82222222222222219</v>
      </c>
    </row>
    <row r="21" spans="1:12" x14ac:dyDescent="0.2">
      <c r="A21">
        <v>19</v>
      </c>
      <c r="B21" t="s">
        <v>32</v>
      </c>
      <c r="C21">
        <v>1</v>
      </c>
      <c r="D21">
        <v>0</v>
      </c>
      <c r="E21" t="s">
        <v>56</v>
      </c>
      <c r="F21">
        <v>1</v>
      </c>
      <c r="K21" s="10"/>
      <c r="L21" s="10"/>
    </row>
    <row r="22" spans="1:12" x14ac:dyDescent="0.2">
      <c r="A22">
        <v>20</v>
      </c>
      <c r="B22" t="s">
        <v>38</v>
      </c>
      <c r="C22">
        <v>0</v>
      </c>
      <c r="D22">
        <v>0</v>
      </c>
      <c r="E22" t="s">
        <v>56</v>
      </c>
      <c r="G22">
        <v>1</v>
      </c>
      <c r="K22" s="10" t="s">
        <v>58</v>
      </c>
      <c r="L22" s="11">
        <f>(_xlfn.NORM.S.INV(L19)-_xlfn.NORM.S.INV(L20))</f>
        <v>-1.1304140451631466</v>
      </c>
    </row>
    <row r="23" spans="1:12" x14ac:dyDescent="0.2">
      <c r="A23">
        <v>21</v>
      </c>
      <c r="B23" t="s">
        <v>32</v>
      </c>
      <c r="C23">
        <v>0</v>
      </c>
      <c r="D23">
        <v>-2</v>
      </c>
      <c r="E23" s="3" t="s">
        <v>55</v>
      </c>
      <c r="H23">
        <v>1</v>
      </c>
      <c r="K23" s="9" t="s">
        <v>57</v>
      </c>
      <c r="L23" s="12">
        <f>(-(_xlfn.NORM.S.INV(L19) + _xlfn.NORM.S.INV(L20))/2)</f>
        <v>-0.35865999816273836</v>
      </c>
    </row>
    <row r="24" spans="1:12" x14ac:dyDescent="0.2">
      <c r="A24">
        <v>22</v>
      </c>
      <c r="B24" t="s">
        <v>38</v>
      </c>
      <c r="C24">
        <v>0</v>
      </c>
      <c r="D24">
        <v>0</v>
      </c>
      <c r="E24" t="s">
        <v>56</v>
      </c>
      <c r="G24">
        <v>1</v>
      </c>
    </row>
    <row r="25" spans="1:12" x14ac:dyDescent="0.2">
      <c r="A25">
        <v>23</v>
      </c>
      <c r="B25" t="s">
        <v>32</v>
      </c>
      <c r="C25">
        <v>0</v>
      </c>
      <c r="D25">
        <v>4</v>
      </c>
      <c r="E25" s="3" t="s">
        <v>55</v>
      </c>
      <c r="H25">
        <v>1</v>
      </c>
    </row>
    <row r="26" spans="1:12" x14ac:dyDescent="0.2">
      <c r="A26">
        <v>24</v>
      </c>
      <c r="B26" t="s">
        <v>32</v>
      </c>
      <c r="C26">
        <v>0</v>
      </c>
      <c r="D26">
        <v>3</v>
      </c>
      <c r="E26" t="s">
        <v>55</v>
      </c>
      <c r="H26">
        <v>1</v>
      </c>
    </row>
    <row r="27" spans="1:12" x14ac:dyDescent="0.2">
      <c r="A27">
        <v>25</v>
      </c>
      <c r="B27" t="s">
        <v>38</v>
      </c>
      <c r="C27">
        <v>0</v>
      </c>
      <c r="D27">
        <v>0</v>
      </c>
      <c r="E27" t="s">
        <v>56</v>
      </c>
      <c r="G27">
        <v>1</v>
      </c>
      <c r="K27" s="20" t="s">
        <v>61</v>
      </c>
      <c r="L27" s="19"/>
    </row>
    <row r="28" spans="1:12" x14ac:dyDescent="0.2">
      <c r="A28">
        <v>26</v>
      </c>
      <c r="B28" t="s">
        <v>32</v>
      </c>
      <c r="C28">
        <v>1</v>
      </c>
      <c r="D28">
        <v>0</v>
      </c>
      <c r="E28" t="s">
        <v>56</v>
      </c>
      <c r="F28">
        <v>1</v>
      </c>
    </row>
    <row r="29" spans="1:12" x14ac:dyDescent="0.2">
      <c r="A29">
        <v>27</v>
      </c>
      <c r="B29" t="s">
        <v>32</v>
      </c>
      <c r="C29">
        <v>0</v>
      </c>
      <c r="D29">
        <v>4</v>
      </c>
      <c r="E29" s="3" t="s">
        <v>55</v>
      </c>
      <c r="H29">
        <v>1</v>
      </c>
    </row>
    <row r="30" spans="1:12" x14ac:dyDescent="0.2">
      <c r="A30">
        <v>28</v>
      </c>
      <c r="B30" t="s">
        <v>38</v>
      </c>
      <c r="C30">
        <v>0</v>
      </c>
      <c r="D30">
        <v>0</v>
      </c>
      <c r="E30" t="s">
        <v>56</v>
      </c>
      <c r="G30">
        <v>1</v>
      </c>
    </row>
    <row r="31" spans="1:12" x14ac:dyDescent="0.2">
      <c r="A31">
        <v>29</v>
      </c>
      <c r="B31" t="s">
        <v>38</v>
      </c>
      <c r="C31">
        <v>0</v>
      </c>
      <c r="D31">
        <v>0</v>
      </c>
      <c r="E31" t="s">
        <v>56</v>
      </c>
      <c r="G31">
        <v>1</v>
      </c>
    </row>
    <row r="32" spans="1:12" x14ac:dyDescent="0.2">
      <c r="A32">
        <v>30</v>
      </c>
      <c r="B32" t="s">
        <v>38</v>
      </c>
      <c r="C32">
        <v>0</v>
      </c>
      <c r="D32">
        <v>0</v>
      </c>
      <c r="E32" t="s">
        <v>56</v>
      </c>
      <c r="G32">
        <v>1</v>
      </c>
    </row>
    <row r="33" spans="1:8" x14ac:dyDescent="0.2">
      <c r="A33">
        <v>31</v>
      </c>
      <c r="B33" t="s">
        <v>38</v>
      </c>
      <c r="C33">
        <v>0</v>
      </c>
      <c r="D33">
        <v>0</v>
      </c>
      <c r="E33" t="s">
        <v>56</v>
      </c>
      <c r="G33">
        <v>1</v>
      </c>
    </row>
    <row r="34" spans="1:8" x14ac:dyDescent="0.2">
      <c r="A34">
        <v>32</v>
      </c>
      <c r="B34" t="s">
        <v>38</v>
      </c>
      <c r="C34">
        <v>0</v>
      </c>
      <c r="D34">
        <v>0</v>
      </c>
      <c r="E34" t="s">
        <v>56</v>
      </c>
      <c r="G34">
        <v>1</v>
      </c>
    </row>
    <row r="35" spans="1:8" x14ac:dyDescent="0.2">
      <c r="A35">
        <v>33</v>
      </c>
      <c r="B35" t="s">
        <v>32</v>
      </c>
      <c r="C35">
        <v>0</v>
      </c>
      <c r="D35">
        <v>1</v>
      </c>
      <c r="E35" s="3" t="s">
        <v>55</v>
      </c>
      <c r="H35">
        <v>1</v>
      </c>
    </row>
    <row r="36" spans="1:8" x14ac:dyDescent="0.2">
      <c r="A36">
        <v>34</v>
      </c>
      <c r="B36" t="s">
        <v>38</v>
      </c>
      <c r="C36">
        <v>0</v>
      </c>
      <c r="D36">
        <v>0</v>
      </c>
      <c r="E36" t="s">
        <v>56</v>
      </c>
      <c r="G36">
        <v>1</v>
      </c>
    </row>
    <row r="37" spans="1:8" x14ac:dyDescent="0.2">
      <c r="A37">
        <v>35</v>
      </c>
      <c r="B37" t="s">
        <v>32</v>
      </c>
      <c r="C37">
        <v>0</v>
      </c>
      <c r="D37">
        <v>-4</v>
      </c>
      <c r="E37" s="3" t="s">
        <v>55</v>
      </c>
      <c r="H37">
        <v>1</v>
      </c>
    </row>
    <row r="38" spans="1:8" x14ac:dyDescent="0.2">
      <c r="A38">
        <v>36</v>
      </c>
      <c r="B38" t="s">
        <v>32</v>
      </c>
      <c r="C38">
        <v>0</v>
      </c>
      <c r="D38">
        <v>4</v>
      </c>
      <c r="E38" s="3" t="s">
        <v>55</v>
      </c>
      <c r="H38">
        <v>1</v>
      </c>
    </row>
    <row r="39" spans="1:8" x14ac:dyDescent="0.2">
      <c r="A39">
        <v>37</v>
      </c>
      <c r="B39" t="s">
        <v>32</v>
      </c>
      <c r="C39">
        <v>0</v>
      </c>
      <c r="D39">
        <v>-4</v>
      </c>
      <c r="E39" s="3" t="s">
        <v>55</v>
      </c>
      <c r="H39">
        <v>1</v>
      </c>
    </row>
    <row r="40" spans="1:8" x14ac:dyDescent="0.2">
      <c r="A40">
        <v>38</v>
      </c>
      <c r="B40" t="s">
        <v>32</v>
      </c>
      <c r="C40">
        <v>0</v>
      </c>
      <c r="D40">
        <v>-5</v>
      </c>
      <c r="E40" s="3" t="s">
        <v>55</v>
      </c>
      <c r="H40">
        <v>1</v>
      </c>
    </row>
    <row r="41" spans="1:8" x14ac:dyDescent="0.2">
      <c r="A41">
        <v>39</v>
      </c>
      <c r="B41" t="s">
        <v>38</v>
      </c>
      <c r="C41">
        <v>0</v>
      </c>
      <c r="D41">
        <v>0</v>
      </c>
      <c r="E41" t="s">
        <v>56</v>
      </c>
      <c r="G41">
        <v>1</v>
      </c>
    </row>
    <row r="42" spans="1:8" x14ac:dyDescent="0.2">
      <c r="A42">
        <v>40</v>
      </c>
      <c r="B42" t="s">
        <v>32</v>
      </c>
      <c r="C42">
        <v>0</v>
      </c>
      <c r="D42">
        <v>-4</v>
      </c>
      <c r="E42" s="3" t="s">
        <v>55</v>
      </c>
      <c r="H42">
        <v>1</v>
      </c>
    </row>
    <row r="43" spans="1:8" x14ac:dyDescent="0.2">
      <c r="A43">
        <v>41</v>
      </c>
      <c r="B43" t="s">
        <v>32</v>
      </c>
      <c r="C43">
        <v>1</v>
      </c>
      <c r="D43">
        <v>0</v>
      </c>
      <c r="E43" t="s">
        <v>56</v>
      </c>
      <c r="F43">
        <v>1</v>
      </c>
    </row>
    <row r="44" spans="1:8" x14ac:dyDescent="0.2">
      <c r="A44">
        <v>42</v>
      </c>
      <c r="B44" t="s">
        <v>38</v>
      </c>
      <c r="C44">
        <v>0</v>
      </c>
      <c r="D44">
        <v>0</v>
      </c>
      <c r="E44" t="s">
        <v>56</v>
      </c>
      <c r="G44">
        <v>1</v>
      </c>
    </row>
    <row r="45" spans="1:8" x14ac:dyDescent="0.2">
      <c r="A45">
        <v>43</v>
      </c>
      <c r="B45" t="s">
        <v>32</v>
      </c>
      <c r="C45">
        <v>0</v>
      </c>
      <c r="D45">
        <v>-3</v>
      </c>
      <c r="E45" s="3" t="s">
        <v>55</v>
      </c>
      <c r="H45">
        <v>1</v>
      </c>
    </row>
    <row r="46" spans="1:8" x14ac:dyDescent="0.2">
      <c r="A46">
        <v>44</v>
      </c>
      <c r="B46" t="s">
        <v>32</v>
      </c>
      <c r="C46">
        <v>1</v>
      </c>
      <c r="D46">
        <v>0</v>
      </c>
      <c r="E46" t="s">
        <v>56</v>
      </c>
      <c r="F46">
        <v>1</v>
      </c>
    </row>
    <row r="47" spans="1:8" x14ac:dyDescent="0.2">
      <c r="A47">
        <v>45</v>
      </c>
      <c r="B47" t="s">
        <v>38</v>
      </c>
      <c r="C47">
        <v>0</v>
      </c>
      <c r="D47">
        <v>0</v>
      </c>
      <c r="E47" t="s">
        <v>56</v>
      </c>
      <c r="G47">
        <v>1</v>
      </c>
    </row>
    <row r="48" spans="1:8" x14ac:dyDescent="0.2">
      <c r="A48">
        <v>46</v>
      </c>
      <c r="B48" t="s">
        <v>32</v>
      </c>
      <c r="C48">
        <v>1</v>
      </c>
      <c r="D48">
        <v>0</v>
      </c>
      <c r="E48" t="s">
        <v>56</v>
      </c>
      <c r="F48">
        <v>1</v>
      </c>
    </row>
    <row r="49" spans="1:9" x14ac:dyDescent="0.2">
      <c r="A49">
        <v>47</v>
      </c>
      <c r="B49" t="s">
        <v>32</v>
      </c>
      <c r="C49">
        <v>1</v>
      </c>
      <c r="D49">
        <v>0</v>
      </c>
      <c r="E49" t="s">
        <v>56</v>
      </c>
      <c r="F49">
        <v>1</v>
      </c>
    </row>
    <row r="50" spans="1:9" x14ac:dyDescent="0.2">
      <c r="A50">
        <v>48</v>
      </c>
      <c r="B50" t="s">
        <v>32</v>
      </c>
      <c r="C50">
        <v>0</v>
      </c>
      <c r="D50">
        <v>-5</v>
      </c>
      <c r="E50" s="3" t="s">
        <v>55</v>
      </c>
      <c r="H50">
        <v>1</v>
      </c>
    </row>
    <row r="51" spans="1:9" x14ac:dyDescent="0.2">
      <c r="A51">
        <v>49</v>
      </c>
      <c r="B51" t="s">
        <v>32</v>
      </c>
      <c r="C51">
        <v>1</v>
      </c>
      <c r="D51">
        <v>0</v>
      </c>
      <c r="E51" t="s">
        <v>56</v>
      </c>
      <c r="F51">
        <v>1</v>
      </c>
    </row>
    <row r="52" spans="1:9" x14ac:dyDescent="0.2">
      <c r="A52">
        <v>50</v>
      </c>
      <c r="B52" t="s">
        <v>38</v>
      </c>
      <c r="C52">
        <v>1</v>
      </c>
      <c r="D52">
        <v>4</v>
      </c>
      <c r="E52" s="3" t="s">
        <v>55</v>
      </c>
      <c r="I52">
        <v>1</v>
      </c>
    </row>
    <row r="53" spans="1:9" x14ac:dyDescent="0.2">
      <c r="A53">
        <v>51</v>
      </c>
      <c r="B53" t="s">
        <v>32</v>
      </c>
      <c r="C53">
        <v>1</v>
      </c>
      <c r="D53">
        <v>0</v>
      </c>
      <c r="E53" t="s">
        <v>56</v>
      </c>
      <c r="F53">
        <v>1</v>
      </c>
    </row>
    <row r="54" spans="1:9" x14ac:dyDescent="0.2">
      <c r="A54">
        <v>52</v>
      </c>
      <c r="B54" t="s">
        <v>32</v>
      </c>
      <c r="C54">
        <v>1</v>
      </c>
      <c r="D54">
        <v>0</v>
      </c>
      <c r="E54" t="s">
        <v>56</v>
      </c>
      <c r="F54">
        <v>1</v>
      </c>
    </row>
    <row r="55" spans="1:9" x14ac:dyDescent="0.2">
      <c r="A55">
        <v>53</v>
      </c>
      <c r="B55" t="s">
        <v>32</v>
      </c>
      <c r="C55">
        <v>1</v>
      </c>
      <c r="D55">
        <v>0</v>
      </c>
      <c r="E55" t="s">
        <v>56</v>
      </c>
      <c r="F55">
        <v>1</v>
      </c>
    </row>
    <row r="56" spans="1:9" x14ac:dyDescent="0.2">
      <c r="A56">
        <v>54</v>
      </c>
      <c r="B56" t="s">
        <v>38</v>
      </c>
      <c r="C56">
        <v>0</v>
      </c>
      <c r="D56">
        <v>0</v>
      </c>
      <c r="E56" t="s">
        <v>56</v>
      </c>
      <c r="G56">
        <v>1</v>
      </c>
    </row>
    <row r="57" spans="1:9" x14ac:dyDescent="0.2">
      <c r="A57">
        <v>55</v>
      </c>
      <c r="B57" t="s">
        <v>32</v>
      </c>
      <c r="C57">
        <v>0</v>
      </c>
      <c r="D57">
        <v>3</v>
      </c>
      <c r="E57" s="3" t="s">
        <v>55</v>
      </c>
      <c r="H57">
        <v>1</v>
      </c>
    </row>
    <row r="58" spans="1:9" x14ac:dyDescent="0.2">
      <c r="A58">
        <v>56</v>
      </c>
      <c r="B58" t="s">
        <v>38</v>
      </c>
      <c r="C58">
        <v>0</v>
      </c>
      <c r="D58">
        <v>0</v>
      </c>
      <c r="E58" t="s">
        <v>56</v>
      </c>
      <c r="G58">
        <v>1</v>
      </c>
    </row>
    <row r="59" spans="1:9" x14ac:dyDescent="0.2">
      <c r="A59">
        <v>57</v>
      </c>
      <c r="B59" t="s">
        <v>38</v>
      </c>
      <c r="C59">
        <v>0</v>
      </c>
      <c r="D59">
        <v>0</v>
      </c>
      <c r="E59" t="s">
        <v>56</v>
      </c>
      <c r="G59">
        <v>1</v>
      </c>
    </row>
    <row r="60" spans="1:9" x14ac:dyDescent="0.2">
      <c r="A60">
        <v>58</v>
      </c>
      <c r="B60" t="s">
        <v>32</v>
      </c>
      <c r="C60">
        <v>0</v>
      </c>
      <c r="D60">
        <v>-5</v>
      </c>
      <c r="E60" s="3" t="s">
        <v>55</v>
      </c>
      <c r="H60">
        <v>1</v>
      </c>
    </row>
    <row r="61" spans="1:9" x14ac:dyDescent="0.2">
      <c r="A61">
        <v>59</v>
      </c>
      <c r="B61" t="s">
        <v>38</v>
      </c>
      <c r="C61">
        <v>1</v>
      </c>
      <c r="D61">
        <v>1</v>
      </c>
      <c r="E61" s="3" t="s">
        <v>55</v>
      </c>
      <c r="I61">
        <v>1</v>
      </c>
    </row>
    <row r="62" spans="1:9" x14ac:dyDescent="0.2">
      <c r="A62">
        <v>60</v>
      </c>
      <c r="B62" t="s">
        <v>32</v>
      </c>
      <c r="C62">
        <v>1</v>
      </c>
      <c r="D62">
        <v>0</v>
      </c>
      <c r="E62" t="s">
        <v>56</v>
      </c>
      <c r="F62">
        <v>1</v>
      </c>
    </row>
    <row r="63" spans="1:9" x14ac:dyDescent="0.2">
      <c r="A63">
        <v>61</v>
      </c>
      <c r="B63" t="s">
        <v>32</v>
      </c>
      <c r="C63">
        <v>1</v>
      </c>
      <c r="D63">
        <v>0</v>
      </c>
      <c r="E63" t="s">
        <v>56</v>
      </c>
      <c r="F63">
        <v>1</v>
      </c>
    </row>
    <row r="64" spans="1:9" x14ac:dyDescent="0.2">
      <c r="A64">
        <v>62</v>
      </c>
      <c r="B64" t="s">
        <v>32</v>
      </c>
      <c r="C64">
        <v>0</v>
      </c>
      <c r="D64">
        <v>-5</v>
      </c>
      <c r="E64" s="3" t="s">
        <v>55</v>
      </c>
      <c r="H64">
        <v>1</v>
      </c>
    </row>
    <row r="65" spans="1:9" x14ac:dyDescent="0.2">
      <c r="A65">
        <v>63</v>
      </c>
      <c r="B65" t="s">
        <v>32</v>
      </c>
      <c r="C65">
        <v>1</v>
      </c>
      <c r="D65">
        <v>0</v>
      </c>
      <c r="E65" t="s">
        <v>56</v>
      </c>
      <c r="F65">
        <v>1</v>
      </c>
    </row>
    <row r="66" spans="1:9" x14ac:dyDescent="0.2">
      <c r="A66">
        <v>64</v>
      </c>
      <c r="B66" t="s">
        <v>38</v>
      </c>
      <c r="C66">
        <v>0</v>
      </c>
      <c r="D66">
        <v>0</v>
      </c>
      <c r="E66" t="s">
        <v>56</v>
      </c>
      <c r="G66">
        <v>1</v>
      </c>
    </row>
    <row r="67" spans="1:9" x14ac:dyDescent="0.2">
      <c r="A67">
        <v>65</v>
      </c>
      <c r="B67" t="s">
        <v>38</v>
      </c>
      <c r="C67">
        <v>1</v>
      </c>
      <c r="D67">
        <v>-3</v>
      </c>
      <c r="E67" s="3" t="s">
        <v>55</v>
      </c>
      <c r="I67">
        <v>1</v>
      </c>
    </row>
    <row r="68" spans="1:9" x14ac:dyDescent="0.2">
      <c r="A68">
        <v>66</v>
      </c>
      <c r="B68" t="s">
        <v>38</v>
      </c>
      <c r="C68">
        <v>1</v>
      </c>
      <c r="D68">
        <v>-2</v>
      </c>
      <c r="E68" s="3" t="s">
        <v>55</v>
      </c>
      <c r="I68">
        <v>1</v>
      </c>
    </row>
    <row r="69" spans="1:9" x14ac:dyDescent="0.2">
      <c r="A69">
        <v>67</v>
      </c>
      <c r="B69" t="s">
        <v>32</v>
      </c>
      <c r="C69">
        <v>1</v>
      </c>
      <c r="D69">
        <v>0</v>
      </c>
      <c r="E69" t="s">
        <v>56</v>
      </c>
      <c r="F69">
        <v>1</v>
      </c>
    </row>
    <row r="70" spans="1:9" x14ac:dyDescent="0.2">
      <c r="A70">
        <v>68</v>
      </c>
      <c r="B70" t="s">
        <v>32</v>
      </c>
      <c r="C70">
        <v>0</v>
      </c>
      <c r="D70">
        <v>-5</v>
      </c>
      <c r="E70" s="3" t="s">
        <v>55</v>
      </c>
      <c r="H70">
        <v>1</v>
      </c>
    </row>
    <row r="71" spans="1:9" x14ac:dyDescent="0.2">
      <c r="A71">
        <v>69</v>
      </c>
      <c r="B71" t="s">
        <v>32</v>
      </c>
      <c r="C71">
        <v>0</v>
      </c>
      <c r="D71">
        <v>2</v>
      </c>
      <c r="E71" s="3" t="s">
        <v>55</v>
      </c>
      <c r="H71">
        <v>1</v>
      </c>
    </row>
    <row r="72" spans="1:9" x14ac:dyDescent="0.2">
      <c r="A72">
        <v>70</v>
      </c>
      <c r="B72" t="s">
        <v>38</v>
      </c>
      <c r="C72">
        <v>0</v>
      </c>
      <c r="D72">
        <v>0</v>
      </c>
      <c r="E72" s="3" t="s">
        <v>56</v>
      </c>
      <c r="G72">
        <v>1</v>
      </c>
    </row>
    <row r="73" spans="1:9" x14ac:dyDescent="0.2">
      <c r="A73">
        <v>71</v>
      </c>
      <c r="B73" t="s">
        <v>38</v>
      </c>
      <c r="C73">
        <v>1</v>
      </c>
      <c r="D73">
        <v>1</v>
      </c>
      <c r="E73" s="3" t="s">
        <v>55</v>
      </c>
      <c r="I73">
        <v>1</v>
      </c>
    </row>
    <row r="74" spans="1:9" x14ac:dyDescent="0.2">
      <c r="A74">
        <v>72</v>
      </c>
      <c r="B74" t="s">
        <v>38</v>
      </c>
      <c r="C74">
        <v>0</v>
      </c>
      <c r="D74">
        <v>0</v>
      </c>
      <c r="E74" s="3" t="s">
        <v>56</v>
      </c>
      <c r="G74">
        <v>1</v>
      </c>
    </row>
    <row r="75" spans="1:9" x14ac:dyDescent="0.2">
      <c r="A75">
        <v>73</v>
      </c>
      <c r="B75" t="s">
        <v>32</v>
      </c>
      <c r="C75">
        <v>0</v>
      </c>
      <c r="D75">
        <v>-4</v>
      </c>
      <c r="E75" s="3" t="s">
        <v>55</v>
      </c>
      <c r="H75">
        <v>1</v>
      </c>
    </row>
    <row r="76" spans="1:9" x14ac:dyDescent="0.2">
      <c r="A76">
        <v>74</v>
      </c>
      <c r="B76" t="s">
        <v>38</v>
      </c>
      <c r="C76">
        <v>0</v>
      </c>
      <c r="D76">
        <v>0</v>
      </c>
      <c r="E76" s="3" t="s">
        <v>56</v>
      </c>
      <c r="G76">
        <v>1</v>
      </c>
    </row>
    <row r="77" spans="1:9" x14ac:dyDescent="0.2">
      <c r="A77">
        <v>75</v>
      </c>
      <c r="B77" t="s">
        <v>38</v>
      </c>
      <c r="C77">
        <v>0</v>
      </c>
      <c r="D77">
        <v>0</v>
      </c>
      <c r="E77" s="3" t="s">
        <v>56</v>
      </c>
      <c r="G77">
        <v>1</v>
      </c>
    </row>
    <row r="78" spans="1:9" x14ac:dyDescent="0.2">
      <c r="A78">
        <v>76</v>
      </c>
      <c r="B78" t="s">
        <v>32</v>
      </c>
      <c r="C78">
        <v>0</v>
      </c>
      <c r="D78">
        <v>2</v>
      </c>
      <c r="E78" s="3" t="s">
        <v>55</v>
      </c>
      <c r="H78">
        <v>1</v>
      </c>
    </row>
    <row r="79" spans="1:9" x14ac:dyDescent="0.2">
      <c r="A79">
        <v>77</v>
      </c>
      <c r="B79" t="s">
        <v>38</v>
      </c>
      <c r="C79">
        <v>0</v>
      </c>
      <c r="D79">
        <v>0</v>
      </c>
      <c r="E79" s="3" t="s">
        <v>56</v>
      </c>
      <c r="G79">
        <v>1</v>
      </c>
    </row>
    <row r="80" spans="1:9" x14ac:dyDescent="0.2">
      <c r="A80">
        <v>78</v>
      </c>
      <c r="B80" t="s">
        <v>38</v>
      </c>
      <c r="C80">
        <v>0</v>
      </c>
      <c r="D80">
        <v>0</v>
      </c>
      <c r="E80" s="3" t="s">
        <v>56</v>
      </c>
      <c r="G80">
        <v>1</v>
      </c>
    </row>
    <row r="81" spans="1:8" x14ac:dyDescent="0.2">
      <c r="A81">
        <v>79</v>
      </c>
      <c r="B81" t="s">
        <v>32</v>
      </c>
      <c r="C81">
        <v>0</v>
      </c>
      <c r="D81">
        <v>3</v>
      </c>
      <c r="E81" s="3" t="s">
        <v>55</v>
      </c>
      <c r="H81">
        <v>1</v>
      </c>
    </row>
    <row r="82" spans="1:8" x14ac:dyDescent="0.2">
      <c r="A82">
        <v>80</v>
      </c>
      <c r="B82" t="s">
        <v>32</v>
      </c>
      <c r="C82">
        <v>0</v>
      </c>
      <c r="D82">
        <v>4</v>
      </c>
      <c r="E82" s="3" t="s">
        <v>55</v>
      </c>
      <c r="H82">
        <v>1</v>
      </c>
    </row>
    <row r="83" spans="1:8" x14ac:dyDescent="0.2">
      <c r="A83">
        <v>81</v>
      </c>
      <c r="B83" t="s">
        <v>32</v>
      </c>
      <c r="C83">
        <v>0</v>
      </c>
      <c r="D83">
        <v>-5</v>
      </c>
      <c r="E83" s="3" t="s">
        <v>55</v>
      </c>
      <c r="H83">
        <v>1</v>
      </c>
    </row>
    <row r="84" spans="1:8" x14ac:dyDescent="0.2">
      <c r="A84">
        <v>82</v>
      </c>
      <c r="B84" t="s">
        <v>32</v>
      </c>
      <c r="C84">
        <v>0</v>
      </c>
      <c r="D84">
        <v>3</v>
      </c>
      <c r="E84" s="3" t="s">
        <v>55</v>
      </c>
      <c r="H84">
        <v>1</v>
      </c>
    </row>
    <row r="85" spans="1:8" x14ac:dyDescent="0.2">
      <c r="A85">
        <v>83</v>
      </c>
      <c r="B85" t="s">
        <v>32</v>
      </c>
      <c r="C85">
        <v>0</v>
      </c>
      <c r="D85">
        <v>4</v>
      </c>
      <c r="E85" s="3" t="s">
        <v>55</v>
      </c>
      <c r="H85">
        <v>1</v>
      </c>
    </row>
    <row r="86" spans="1:8" x14ac:dyDescent="0.2">
      <c r="A86">
        <v>84</v>
      </c>
      <c r="B86" t="s">
        <v>32</v>
      </c>
      <c r="C86">
        <v>0</v>
      </c>
      <c r="D86">
        <v>-2</v>
      </c>
      <c r="E86" s="3" t="s">
        <v>55</v>
      </c>
      <c r="H86">
        <v>1</v>
      </c>
    </row>
    <row r="87" spans="1:8" x14ac:dyDescent="0.2">
      <c r="A87">
        <v>85</v>
      </c>
      <c r="B87" t="s">
        <v>32</v>
      </c>
      <c r="C87">
        <v>0</v>
      </c>
      <c r="D87">
        <v>-2</v>
      </c>
      <c r="E87" s="3" t="s">
        <v>55</v>
      </c>
      <c r="H87">
        <v>1</v>
      </c>
    </row>
    <row r="88" spans="1:8" x14ac:dyDescent="0.2">
      <c r="A88">
        <v>86</v>
      </c>
      <c r="B88" t="s">
        <v>38</v>
      </c>
      <c r="C88">
        <v>0</v>
      </c>
      <c r="D88">
        <v>0</v>
      </c>
      <c r="E88" s="3" t="s">
        <v>56</v>
      </c>
      <c r="G88">
        <v>1</v>
      </c>
    </row>
    <row r="89" spans="1:8" x14ac:dyDescent="0.2">
      <c r="A89">
        <v>87</v>
      </c>
      <c r="B89" t="s">
        <v>32</v>
      </c>
      <c r="C89">
        <v>0</v>
      </c>
      <c r="D89">
        <v>-4</v>
      </c>
      <c r="E89" s="3" t="s">
        <v>55</v>
      </c>
      <c r="H89">
        <v>1</v>
      </c>
    </row>
    <row r="90" spans="1:8" x14ac:dyDescent="0.2">
      <c r="A90">
        <v>88</v>
      </c>
      <c r="B90" t="s">
        <v>38</v>
      </c>
      <c r="C90">
        <v>0</v>
      </c>
      <c r="D90">
        <v>0</v>
      </c>
      <c r="E90" s="3" t="s">
        <v>56</v>
      </c>
      <c r="G90">
        <v>1</v>
      </c>
    </row>
    <row r="91" spans="1:8" x14ac:dyDescent="0.2">
      <c r="A91">
        <v>89</v>
      </c>
      <c r="B91" t="s">
        <v>32</v>
      </c>
      <c r="C91">
        <v>0</v>
      </c>
      <c r="D91">
        <v>4</v>
      </c>
      <c r="E91" s="3" t="s">
        <v>55</v>
      </c>
      <c r="H91">
        <v>1</v>
      </c>
    </row>
    <row r="92" spans="1:8" x14ac:dyDescent="0.2">
      <c r="A92">
        <v>90</v>
      </c>
      <c r="B92" t="s">
        <v>32</v>
      </c>
      <c r="C92">
        <v>0</v>
      </c>
      <c r="D92">
        <v>2</v>
      </c>
      <c r="E92" s="3" t="s">
        <v>55</v>
      </c>
      <c r="H92">
        <v>1</v>
      </c>
    </row>
    <row r="93" spans="1:8" x14ac:dyDescent="0.2">
      <c r="A93">
        <v>91</v>
      </c>
      <c r="B93" t="s">
        <v>38</v>
      </c>
      <c r="C93">
        <v>0</v>
      </c>
      <c r="D93">
        <v>0</v>
      </c>
      <c r="E93" s="3" t="s">
        <v>56</v>
      </c>
      <c r="G93">
        <v>1</v>
      </c>
    </row>
    <row r="94" spans="1:8" x14ac:dyDescent="0.2">
      <c r="A94">
        <v>92</v>
      </c>
      <c r="B94" t="s">
        <v>38</v>
      </c>
      <c r="C94">
        <v>0</v>
      </c>
      <c r="D94">
        <v>0</v>
      </c>
      <c r="E94" s="3" t="s">
        <v>56</v>
      </c>
      <c r="G94">
        <v>1</v>
      </c>
    </row>
    <row r="95" spans="1:8" x14ac:dyDescent="0.2">
      <c r="A95">
        <v>93</v>
      </c>
      <c r="B95" t="s">
        <v>32</v>
      </c>
      <c r="C95">
        <v>0</v>
      </c>
      <c r="D95">
        <v>-4</v>
      </c>
      <c r="E95" s="3" t="s">
        <v>55</v>
      </c>
      <c r="H95">
        <v>1</v>
      </c>
    </row>
    <row r="96" spans="1:8" x14ac:dyDescent="0.2">
      <c r="A96">
        <v>94</v>
      </c>
      <c r="B96" t="s">
        <v>38</v>
      </c>
      <c r="C96">
        <v>0</v>
      </c>
      <c r="D96">
        <v>0</v>
      </c>
      <c r="E96" s="3" t="s">
        <v>56</v>
      </c>
      <c r="G96">
        <v>1</v>
      </c>
    </row>
    <row r="97" spans="1:9" x14ac:dyDescent="0.2">
      <c r="A97">
        <v>95</v>
      </c>
      <c r="B97" t="s">
        <v>38</v>
      </c>
      <c r="C97">
        <v>0</v>
      </c>
      <c r="D97">
        <v>0</v>
      </c>
      <c r="E97" s="3" t="s">
        <v>56</v>
      </c>
      <c r="G97">
        <v>1</v>
      </c>
    </row>
    <row r="98" spans="1:9" x14ac:dyDescent="0.2">
      <c r="A98">
        <v>96</v>
      </c>
      <c r="B98" t="s">
        <v>32</v>
      </c>
      <c r="C98">
        <v>0</v>
      </c>
      <c r="D98">
        <v>4</v>
      </c>
      <c r="E98" s="3" t="s">
        <v>55</v>
      </c>
      <c r="H98">
        <v>1</v>
      </c>
    </row>
    <row r="99" spans="1:9" x14ac:dyDescent="0.2">
      <c r="A99">
        <v>97</v>
      </c>
      <c r="B99" t="s">
        <v>32</v>
      </c>
      <c r="C99">
        <v>1</v>
      </c>
      <c r="D99">
        <v>0</v>
      </c>
      <c r="E99" s="3" t="s">
        <v>56</v>
      </c>
      <c r="F99">
        <v>1</v>
      </c>
    </row>
    <row r="100" spans="1:9" x14ac:dyDescent="0.2">
      <c r="A100">
        <v>98</v>
      </c>
      <c r="B100" t="s">
        <v>38</v>
      </c>
      <c r="C100">
        <v>1</v>
      </c>
      <c r="D100">
        <v>-4</v>
      </c>
      <c r="E100" s="3" t="s">
        <v>55</v>
      </c>
      <c r="I100">
        <v>1</v>
      </c>
    </row>
    <row r="101" spans="1:9" x14ac:dyDescent="0.2">
      <c r="A101">
        <v>99</v>
      </c>
      <c r="B101" t="s">
        <v>38</v>
      </c>
      <c r="C101">
        <v>0</v>
      </c>
      <c r="D101">
        <v>0</v>
      </c>
      <c r="E101" s="3" t="s">
        <v>56</v>
      </c>
      <c r="G101">
        <v>1</v>
      </c>
    </row>
    <row r="102" spans="1:9" x14ac:dyDescent="0.2">
      <c r="F102" s="8">
        <f>SUM(F2:F101)</f>
        <v>23</v>
      </c>
      <c r="G102" s="8">
        <f t="shared" ref="G102:I102" si="0">SUM(G2:G101)</f>
        <v>32</v>
      </c>
      <c r="H102" s="8">
        <f t="shared" si="0"/>
        <v>37</v>
      </c>
      <c r="I102" s="8">
        <f t="shared" si="0"/>
        <v>8</v>
      </c>
    </row>
    <row r="105" spans="1:9" x14ac:dyDescent="0.2">
      <c r="A105" s="1" t="s">
        <v>40</v>
      </c>
      <c r="B105" s="1"/>
      <c r="C105" s="1"/>
      <c r="D105" s="1"/>
    </row>
    <row r="106" spans="1:9" x14ac:dyDescent="0.2">
      <c r="A106" s="1" t="s">
        <v>41</v>
      </c>
      <c r="B106" s="1"/>
      <c r="C106" s="1"/>
      <c r="D106" s="1"/>
      <c r="E106" s="1"/>
      <c r="F106" s="1"/>
      <c r="G106" s="1"/>
    </row>
    <row r="110" spans="1:9" x14ac:dyDescent="0.2">
      <c r="A110" s="2" t="s">
        <v>39</v>
      </c>
      <c r="B110" s="2"/>
    </row>
  </sheetData>
  <autoFilter ref="C1:C11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328931_Discrimination Orientati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2025-09-11T01:30:39Z</dcterms:created>
  <dcterms:modified xsi:type="dcterms:W3CDTF">2025-09-11T03:44:05Z</dcterms:modified>
</cp:coreProperties>
</file>