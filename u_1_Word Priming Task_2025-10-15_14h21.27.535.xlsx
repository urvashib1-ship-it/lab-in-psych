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Participants Analysis/"/>
    </mc:Choice>
  </mc:AlternateContent>
  <xr:revisionPtr revIDLastSave="0" documentId="13_ncr:1_{0FCF71DC-3A29-6C4B-AC6B-5F2BEA7050F0}" xr6:coauthVersionLast="47" xr6:coauthVersionMax="47" xr10:uidLastSave="{00000000-0000-0000-0000-000000000000}"/>
  <bookViews>
    <workbookView xWindow="15100" yWindow="660" windowWidth="14300" windowHeight="18460" xr2:uid="{00000000-000D-0000-FFFF-FFFF00000000}"/>
  </bookViews>
  <sheets>
    <sheet name="u_1_Word Priming Task_2025-1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H45" i="1"/>
  <c r="I45" i="1" s="1"/>
  <c r="I44" i="1"/>
  <c r="G48" i="1"/>
  <c r="I47" i="1" l="1"/>
  <c r="G50" i="1"/>
</calcChain>
</file>

<file path=xl/sharedStrings.xml><?xml version="1.0" encoding="utf-8"?>
<sst xmlns="http://schemas.openxmlformats.org/spreadsheetml/2006/main" count="759" uniqueCount="162">
  <si>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</si>
  <si>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</si>
  <si>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</si>
  <si>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</si>
  <si>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</si>
  <si>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</si>
  <si>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</si>
  <si>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</si>
  <si>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</si>
  <si>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</si>
  <si>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</si>
  <si>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</si>
  <si>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</si>
  <si>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</si>
  <si>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</si>
  <si>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</si>
  <si>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</si>
  <si>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</si>
  <si>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</si>
  <si>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</si>
  <si>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</si>
  <si>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</si>
  <si>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</si>
  <si>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</si>
  <si>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</si>
  <si>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</si>
  <si>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</si>
  <si>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</si>
  <si>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</si>
  <si>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</si>
  <si>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</si>
  <si>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</si>
  <si>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</si>
  <si>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</si>
  <si>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textText.started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</si>
  <si>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</si>
  <si>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</si>
  <si>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</si>
  <si>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</si>
  <si>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</si>
  <si>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</si>
  <si>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</si>
  <si>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</si>
  <si>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</si>
  <si>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</si>
  <si>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</si>
  <si>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</si>
  <si>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</si>
  <si>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</si>
  <si>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</si>
  <si>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</si>
  <si>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</si>
  <si>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</si>
  <si>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</si>
  <si>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</si>
  <si>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cushion</t>
  </si>
  <si>
    <t>u_1</t>
  </si>
  <si>
    <t>2025-10-15_14h21.42.372</t>
  </si>
  <si>
    <t>Word Priming Task</t>
  </si>
  <si>
    <t>2025.2.0</t>
  </si>
  <si>
    <t>None</t>
  </si>
  <si>
    <t>2025-10-15 14h21.42.496121 +0530</t>
  </si>
  <si>
    <t>Police</t>
  </si>
  <si>
    <t>Cruise</t>
  </si>
  <si>
    <t>T-shirt</t>
  </si>
  <si>
    <t>Pastry</t>
  </si>
  <si>
    <t>board</t>
  </si>
  <si>
    <t>book</t>
  </si>
  <si>
    <t>Case</t>
  </si>
  <si>
    <t>Chart</t>
  </si>
  <si>
    <t>tiger</t>
  </si>
  <si>
    <t>marble</t>
  </si>
  <si>
    <t>Laptop</t>
  </si>
  <si>
    <t>piano</t>
  </si>
  <si>
    <t>Keys</t>
  </si>
  <si>
    <t>vase</t>
  </si>
  <si>
    <t>camera</t>
  </si>
  <si>
    <t>mouse</t>
  </si>
  <si>
    <t>Poster</t>
  </si>
  <si>
    <t>c_s_</t>
  </si>
  <si>
    <t>case</t>
  </si>
  <si>
    <t xml:space="preserve">old </t>
  </si>
  <si>
    <t xml:space="preserve">case
</t>
  </si>
  <si>
    <t>[np.float64(0.024739583333333332), np.float64(0.07421875)]</t>
  </si>
  <si>
    <t>[np.float64(0.006510416666666667), np.float64(-0.3072916666666667)]</t>
  </si>
  <si>
    <t>[1, 1]</t>
  </si>
  <si>
    <t>[0, 0]</t>
  </si>
  <si>
    <t>[1.531559290997393, 5.031387165996421]</t>
  </si>
  <si>
    <t>[None, 'text_3']</t>
  </si>
  <si>
    <t>P_st_y</t>
  </si>
  <si>
    <t>pastry</t>
  </si>
  <si>
    <t>[np.float64(0.006510416666666667), np.float64(0.022135416666666668)]</t>
  </si>
  <si>
    <t>[np.float64(-0.009114583333333334), np.float64(-0.3229166666666667)]</t>
  </si>
  <si>
    <t>[1.5465869170002406, 4.412567542000033]</t>
  </si>
  <si>
    <t>_o_s_</t>
  </si>
  <si>
    <t>[np.float64(0.040364583333333336)]</t>
  </si>
  <si>
    <t>[np.float64(-0.2994791666666667)]</t>
  </si>
  <si>
    <t>[1]</t>
  </si>
  <si>
    <t>[0]</t>
  </si>
  <si>
    <t>[3.7010542079951847]</t>
  </si>
  <si>
    <t>['text_3']</t>
  </si>
  <si>
    <t>_oo_</t>
  </si>
  <si>
    <t>[2.1286384579943842]</t>
  </si>
  <si>
    <t>p_nc_l</t>
  </si>
  <si>
    <t>pencil</t>
  </si>
  <si>
    <t>new</t>
  </si>
  <si>
    <t>[2.5973387499980163]</t>
  </si>
  <si>
    <t>t_hi_t</t>
  </si>
  <si>
    <t>tshirt</t>
  </si>
  <si>
    <t>[2.4315371669945307]</t>
  </si>
  <si>
    <t>_ho_e</t>
  </si>
  <si>
    <t>phone</t>
  </si>
  <si>
    <t>c</t>
  </si>
  <si>
    <t>[]</t>
  </si>
  <si>
    <t>_a_bl_</t>
  </si>
  <si>
    <t>old</t>
  </si>
  <si>
    <t>table</t>
  </si>
  <si>
    <t>[np.float64(-0.3020833333333333)]</t>
  </si>
  <si>
    <t>[4.038647041001241]</t>
  </si>
  <si>
    <t>bo_t_e</t>
  </si>
  <si>
    <t>bottle</t>
  </si>
  <si>
    <t>[np.float64(0.041666666666666664)]</t>
  </si>
  <si>
    <t>[5.247054500003287]</t>
  </si>
  <si>
    <t>c_m_r_</t>
  </si>
  <si>
    <t>[3.5481195409956854]</t>
  </si>
  <si>
    <t>_ru_is_</t>
  </si>
  <si>
    <t>cruise</t>
  </si>
  <si>
    <t>[3.1632049590043607]</t>
  </si>
  <si>
    <t>l_pt_p</t>
  </si>
  <si>
    <t>laptop</t>
  </si>
  <si>
    <t>[2.6987882500034175]</t>
  </si>
  <si>
    <t>_a_e</t>
  </si>
  <si>
    <t>[2.746086874998582]</t>
  </si>
  <si>
    <t>t_g_r</t>
  </si>
  <si>
    <t>[2.131699249999656]</t>
  </si>
  <si>
    <t>_ia_n_</t>
  </si>
  <si>
    <t>[2.2495514580004965]</t>
  </si>
  <si>
    <t>_o_rd</t>
  </si>
  <si>
    <t>[6.878327459002321]</t>
  </si>
  <si>
    <t>p_li_e</t>
  </si>
  <si>
    <t>police</t>
  </si>
  <si>
    <t>[2.214640917001816]</t>
  </si>
  <si>
    <t>p_st_r</t>
  </si>
  <si>
    <t>poster</t>
  </si>
  <si>
    <t>[2.8636136669956613]</t>
  </si>
  <si>
    <t>c_sh_o_n</t>
  </si>
  <si>
    <t>[3.797953666995454]</t>
  </si>
  <si>
    <t>_ha_t</t>
  </si>
  <si>
    <t>chart</t>
  </si>
  <si>
    <t>k_y_</t>
  </si>
  <si>
    <t>keys</t>
  </si>
  <si>
    <t>[2.073204041997087]</t>
  </si>
  <si>
    <t>ta_l_</t>
  </si>
  <si>
    <t>[1.8658218330019736]</t>
  </si>
  <si>
    <t>o_a_n_e</t>
  </si>
  <si>
    <t>orange</t>
  </si>
  <si>
    <t>[2.661210749996826]</t>
  </si>
  <si>
    <t xml:space="preserve">no. of hit from primed list </t>
  </si>
  <si>
    <t>no. of hit from non primed words</t>
  </si>
  <si>
    <t>Priming Score</t>
  </si>
  <si>
    <t>primed</t>
  </si>
  <si>
    <t xml:space="preserve">non primed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</si>
</sst>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0" fontId="0" fillId="33" borderId="0" xfId="0" applyFill="1"/>
    <xf numFmtId="0" fontId="0" fillId="34" borderId="0" xfId="0" applyFill="1"/>
    <xf numFmtId="0" fontId="17" fillId="35" borderId="0" xfId="0" applyFont="1" applyFill="1"/>
    <xf numFmtId="2" fontId="17" fillId="35" borderId="0" xfId="0" applyNumberFormat="1" applyFont="1" applyFill="1"/>
    <xf numFmtId="0" fontId="0" fillId="0" borderId="10" xfId="0" applyBorder="1"/>
    <xf numFmtId="2" fontId="0" fillId="34" borderId="0" xfId="0" applyNumberForma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tabSelected="1" topLeftCell="D16" workbookViewId="0">
      <selection activeCell="F25" sqref="F25"/>
    </sheetView>
  </sheetViews>
  <sheetFormatPr baseColWidth="10" defaultRowHeight="16" x14ac:dyDescent="0.2"/>
  <cols>
    <col min="8" max="8" width="13.5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>
        <v>0</v>
      </c>
      <c r="C2">
        <v>0</v>
      </c>
      <c r="D2">
        <v>0</v>
      </c>
      <c r="E2">
        <v>1.0052083333333299</v>
      </c>
      <c r="F2">
        <v>2.6469442499947</v>
      </c>
      <c r="R2">
        <v>0</v>
      </c>
      <c r="S2">
        <v>0</v>
      </c>
      <c r="T2">
        <v>0</v>
      </c>
      <c r="U2">
        <v>3</v>
      </c>
      <c r="Z2">
        <v>0.10633654200501</v>
      </c>
      <c r="AB2">
        <v>5.6236584001453503E-2</v>
      </c>
      <c r="AC2">
        <v>0.10633654200501</v>
      </c>
      <c r="AD2">
        <v>0.10633654200501</v>
      </c>
      <c r="AE2">
        <v>2.7132611250053702</v>
      </c>
      <c r="AF2">
        <v>1.0052083333333299</v>
      </c>
      <c r="AG2">
        <v>2.6469442499947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 t="s">
        <v>60</v>
      </c>
      <c r="BC2" t="s">
        <v>61</v>
      </c>
    </row>
    <row r="3" spans="1:55" x14ac:dyDescent="0.2">
      <c r="A3" t="s">
        <v>62</v>
      </c>
      <c r="B3">
        <v>1</v>
      </c>
      <c r="C3">
        <v>1</v>
      </c>
      <c r="D3">
        <v>0</v>
      </c>
      <c r="E3">
        <v>1.0052083333333299</v>
      </c>
      <c r="F3">
        <v>1.1860897920050699</v>
      </c>
      <c r="R3">
        <v>0</v>
      </c>
      <c r="S3">
        <v>1</v>
      </c>
      <c r="T3">
        <v>1</v>
      </c>
      <c r="U3">
        <v>17</v>
      </c>
      <c r="Z3">
        <v>2.7220515840017399</v>
      </c>
      <c r="AB3">
        <v>2.7170335840055402</v>
      </c>
      <c r="AC3">
        <v>2.7220515840017399</v>
      </c>
      <c r="AD3">
        <v>2.7220515840017399</v>
      </c>
      <c r="AE3">
        <v>3.9134189590040398</v>
      </c>
      <c r="AF3">
        <v>1.0052083333333299</v>
      </c>
      <c r="AG3">
        <v>1.1860897920050699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 t="s">
        <v>60</v>
      </c>
      <c r="BC3" t="s">
        <v>61</v>
      </c>
    </row>
    <row r="4" spans="1:55" x14ac:dyDescent="0.2">
      <c r="A4" t="s">
        <v>63</v>
      </c>
      <c r="B4">
        <v>2</v>
      </c>
      <c r="C4">
        <v>2</v>
      </c>
      <c r="D4">
        <v>0</v>
      </c>
      <c r="E4">
        <v>1.0052083333333299</v>
      </c>
      <c r="F4">
        <v>0.93698829099594105</v>
      </c>
      <c r="R4">
        <v>0</v>
      </c>
      <c r="S4">
        <v>2</v>
      </c>
      <c r="T4">
        <v>2</v>
      </c>
      <c r="U4">
        <v>14</v>
      </c>
      <c r="Z4">
        <v>3.9211236670016598</v>
      </c>
      <c r="AB4">
        <v>3.9162753750060801</v>
      </c>
      <c r="AC4">
        <v>3.9211236670016598</v>
      </c>
      <c r="AD4">
        <v>3.9211236670016598</v>
      </c>
      <c r="AE4">
        <v>4.8632151250057998</v>
      </c>
      <c r="AF4">
        <v>1.0052083333333299</v>
      </c>
      <c r="AG4">
        <v>0.93698829099594105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 t="s">
        <v>60</v>
      </c>
      <c r="BC4" t="s">
        <v>61</v>
      </c>
    </row>
    <row r="5" spans="1:55" x14ac:dyDescent="0.2">
      <c r="A5" t="s">
        <v>64</v>
      </c>
      <c r="B5">
        <v>3</v>
      </c>
      <c r="C5">
        <v>3</v>
      </c>
      <c r="D5">
        <v>0</v>
      </c>
      <c r="E5">
        <v>1.0052083333333299</v>
      </c>
      <c r="F5">
        <v>0.88749054100480795</v>
      </c>
      <c r="R5">
        <v>0</v>
      </c>
      <c r="S5">
        <v>3</v>
      </c>
      <c r="T5">
        <v>3</v>
      </c>
      <c r="U5">
        <v>10</v>
      </c>
      <c r="Z5">
        <v>4.8716803339993904</v>
      </c>
      <c r="AB5">
        <v>4.8666237920042397</v>
      </c>
      <c r="AC5">
        <v>4.8716803339993904</v>
      </c>
      <c r="AD5">
        <v>4.8716803339993904</v>
      </c>
      <c r="AE5">
        <v>5.7632353340013598</v>
      </c>
      <c r="AF5">
        <v>1.0052083333333299</v>
      </c>
      <c r="AG5">
        <v>0.88749054100480795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 t="s">
        <v>60</v>
      </c>
      <c r="BC5" t="s">
        <v>61</v>
      </c>
    </row>
    <row r="6" spans="1:55" x14ac:dyDescent="0.2">
      <c r="A6" t="s">
        <v>65</v>
      </c>
      <c r="B6">
        <v>4</v>
      </c>
      <c r="C6">
        <v>4</v>
      </c>
      <c r="D6">
        <v>0</v>
      </c>
      <c r="E6">
        <v>1.0052083333333299</v>
      </c>
      <c r="F6">
        <v>1.2226410840012201</v>
      </c>
      <c r="R6">
        <v>0</v>
      </c>
      <c r="S6">
        <v>4</v>
      </c>
      <c r="T6">
        <v>4</v>
      </c>
      <c r="U6">
        <v>12</v>
      </c>
      <c r="Z6">
        <v>5.7710958750030796</v>
      </c>
      <c r="AB6">
        <v>5.7660282090000603</v>
      </c>
      <c r="AC6">
        <v>5.7710958750030796</v>
      </c>
      <c r="AD6">
        <v>5.7710958750030796</v>
      </c>
      <c r="AE6">
        <v>6.9966720420052297</v>
      </c>
      <c r="AF6">
        <v>1.0052083333333299</v>
      </c>
      <c r="AG6">
        <v>1.2226410840012201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 t="s">
        <v>60</v>
      </c>
      <c r="BC6" t="s">
        <v>61</v>
      </c>
    </row>
    <row r="7" spans="1:55" x14ac:dyDescent="0.2">
      <c r="A7" t="s">
        <v>66</v>
      </c>
      <c r="B7">
        <v>5</v>
      </c>
      <c r="C7">
        <v>5</v>
      </c>
      <c r="D7">
        <v>0</v>
      </c>
      <c r="E7">
        <v>1.0052083333333299</v>
      </c>
      <c r="F7">
        <v>0.77050883300398698</v>
      </c>
      <c r="R7">
        <v>0</v>
      </c>
      <c r="S7">
        <v>5</v>
      </c>
      <c r="T7">
        <v>5</v>
      </c>
      <c r="U7">
        <v>7</v>
      </c>
      <c r="Z7">
        <v>7.0052941670001001</v>
      </c>
      <c r="AB7">
        <v>7.0000027089990899</v>
      </c>
      <c r="AC7">
        <v>7.0052941670001001</v>
      </c>
      <c r="AD7">
        <v>7.0052941670001001</v>
      </c>
      <c r="AE7">
        <v>7.77993087500362</v>
      </c>
      <c r="AF7">
        <v>1.0052083333333299</v>
      </c>
      <c r="AG7">
        <v>0.77050883300398698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 t="s">
        <v>60</v>
      </c>
      <c r="BC7" t="s">
        <v>61</v>
      </c>
    </row>
    <row r="8" spans="1:55" x14ac:dyDescent="0.2">
      <c r="A8" t="s">
        <v>67</v>
      </c>
      <c r="B8">
        <v>6</v>
      </c>
      <c r="C8">
        <v>6</v>
      </c>
      <c r="D8">
        <v>0</v>
      </c>
      <c r="E8">
        <v>1.0052083333333299</v>
      </c>
      <c r="F8">
        <v>0.70622887499484899</v>
      </c>
      <c r="R8">
        <v>0</v>
      </c>
      <c r="S8">
        <v>6</v>
      </c>
      <c r="T8">
        <v>6</v>
      </c>
      <c r="U8">
        <v>2</v>
      </c>
      <c r="Z8">
        <v>7.7876165420020698</v>
      </c>
      <c r="AB8">
        <v>7.7824063750013002</v>
      </c>
      <c r="AC8">
        <v>7.7876165420020698</v>
      </c>
      <c r="AD8">
        <v>7.7876165420020698</v>
      </c>
      <c r="AE8">
        <v>8.4967143750036396</v>
      </c>
      <c r="AF8">
        <v>1.0052083333333299</v>
      </c>
      <c r="AG8">
        <v>0.70622887499484899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 t="s">
        <v>60</v>
      </c>
      <c r="BC8" t="s">
        <v>61</v>
      </c>
    </row>
    <row r="9" spans="1:55" x14ac:dyDescent="0.2">
      <c r="A9" t="s">
        <v>68</v>
      </c>
      <c r="B9">
        <v>7</v>
      </c>
      <c r="C9">
        <v>7</v>
      </c>
      <c r="D9">
        <v>0</v>
      </c>
      <c r="E9">
        <v>1.0052083333333299</v>
      </c>
      <c r="F9">
        <v>0.72280708300240804</v>
      </c>
      <c r="R9">
        <v>0</v>
      </c>
      <c r="S9">
        <v>7</v>
      </c>
      <c r="T9">
        <v>7</v>
      </c>
      <c r="U9">
        <v>13</v>
      </c>
      <c r="Z9">
        <v>8.5041669170022907</v>
      </c>
      <c r="AB9">
        <v>8.4983858750056207</v>
      </c>
      <c r="AC9">
        <v>8.5041669170022907</v>
      </c>
      <c r="AD9">
        <v>8.5041669170022907</v>
      </c>
      <c r="AE9">
        <v>9.2299167919991305</v>
      </c>
      <c r="AF9">
        <v>1.0052083333333299</v>
      </c>
      <c r="AG9">
        <v>0.72280708300240804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 t="s">
        <v>60</v>
      </c>
      <c r="BC9" t="s">
        <v>61</v>
      </c>
    </row>
    <row r="10" spans="1:55" x14ac:dyDescent="0.2">
      <c r="A10" t="s">
        <v>69</v>
      </c>
      <c r="B10">
        <v>8</v>
      </c>
      <c r="C10">
        <v>8</v>
      </c>
      <c r="D10">
        <v>0</v>
      </c>
      <c r="E10">
        <v>1.0052083333333299</v>
      </c>
      <c r="F10">
        <v>0.65620262499578497</v>
      </c>
      <c r="R10">
        <v>0</v>
      </c>
      <c r="S10">
        <v>8</v>
      </c>
      <c r="T10">
        <v>8</v>
      </c>
      <c r="U10">
        <v>9</v>
      </c>
      <c r="Z10">
        <v>9.2376417920022504</v>
      </c>
      <c r="AB10">
        <v>9.23184641700208</v>
      </c>
      <c r="AC10">
        <v>9.2376417920022504</v>
      </c>
      <c r="AD10">
        <v>9.2376417920022504</v>
      </c>
      <c r="AE10">
        <v>9.8967680000059701</v>
      </c>
      <c r="AF10">
        <v>1.0052083333333299</v>
      </c>
      <c r="AG10">
        <v>0.65620262499578497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 t="s">
        <v>60</v>
      </c>
      <c r="BC10" t="s">
        <v>61</v>
      </c>
    </row>
    <row r="11" spans="1:55" x14ac:dyDescent="0.2">
      <c r="A11" t="s">
        <v>70</v>
      </c>
      <c r="B11">
        <v>9</v>
      </c>
      <c r="C11">
        <v>9</v>
      </c>
      <c r="D11">
        <v>0</v>
      </c>
      <c r="E11">
        <v>1.0052083333333299</v>
      </c>
      <c r="F11">
        <v>0.57131966700398995</v>
      </c>
      <c r="R11">
        <v>0</v>
      </c>
      <c r="S11">
        <v>9</v>
      </c>
      <c r="T11">
        <v>9</v>
      </c>
      <c r="U11">
        <v>1</v>
      </c>
      <c r="Z11">
        <v>9.9048340840017701</v>
      </c>
      <c r="AB11">
        <v>9.8996750000005704</v>
      </c>
      <c r="AC11">
        <v>9.9048340840017701</v>
      </c>
      <c r="AD11">
        <v>9.9048340840017701</v>
      </c>
      <c r="AE11">
        <v>10.4802255419999</v>
      </c>
      <c r="AF11">
        <v>1.0052083333333299</v>
      </c>
      <c r="AG11">
        <v>0.57131966700398995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 t="s">
        <v>60</v>
      </c>
      <c r="BC11" t="s">
        <v>61</v>
      </c>
    </row>
    <row r="12" spans="1:55" x14ac:dyDescent="0.2">
      <c r="A12" t="s">
        <v>71</v>
      </c>
      <c r="B12">
        <v>10</v>
      </c>
      <c r="C12">
        <v>10</v>
      </c>
      <c r="D12">
        <v>0</v>
      </c>
      <c r="E12">
        <v>1.0052083333333299</v>
      </c>
      <c r="F12">
        <v>0.60511887499887895</v>
      </c>
      <c r="R12">
        <v>0</v>
      </c>
      <c r="S12">
        <v>10</v>
      </c>
      <c r="T12">
        <v>10</v>
      </c>
      <c r="U12">
        <v>6</v>
      </c>
      <c r="Z12">
        <v>10.488024083999299</v>
      </c>
      <c r="AB12">
        <v>10.482736917001599</v>
      </c>
      <c r="AC12">
        <v>10.488024083999299</v>
      </c>
      <c r="AD12">
        <v>10.488024083999299</v>
      </c>
      <c r="AE12">
        <v>11.0965937500004</v>
      </c>
      <c r="AF12">
        <v>1.0052083333333299</v>
      </c>
      <c r="AG12">
        <v>0.60511887499887895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 t="s">
        <v>60</v>
      </c>
      <c r="BC12" t="s">
        <v>61</v>
      </c>
    </row>
    <row r="13" spans="1:55" x14ac:dyDescent="0.2">
      <c r="A13" t="s">
        <v>72</v>
      </c>
      <c r="B13">
        <v>11</v>
      </c>
      <c r="C13">
        <v>11</v>
      </c>
      <c r="D13">
        <v>0</v>
      </c>
      <c r="E13">
        <v>1.0052083333333299</v>
      </c>
      <c r="F13">
        <v>1.3873994999957999</v>
      </c>
      <c r="R13">
        <v>0</v>
      </c>
      <c r="S13">
        <v>11</v>
      </c>
      <c r="T13">
        <v>11</v>
      </c>
      <c r="U13">
        <v>8</v>
      </c>
      <c r="Z13">
        <v>11.104267583999899</v>
      </c>
      <c r="AB13">
        <v>11.099556875000401</v>
      </c>
      <c r="AC13">
        <v>11.104267583999899</v>
      </c>
      <c r="AD13">
        <v>11.104267583999899</v>
      </c>
      <c r="AE13">
        <v>12.4966093340044</v>
      </c>
      <c r="AF13">
        <v>1.0052083333333299</v>
      </c>
      <c r="AG13">
        <v>1.3873994999957999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 t="s">
        <v>60</v>
      </c>
      <c r="BC13" t="s">
        <v>61</v>
      </c>
    </row>
    <row r="14" spans="1:55" x14ac:dyDescent="0.2">
      <c r="A14" t="s">
        <v>73</v>
      </c>
      <c r="B14">
        <v>12</v>
      </c>
      <c r="C14">
        <v>12</v>
      </c>
      <c r="D14">
        <v>0</v>
      </c>
      <c r="E14">
        <v>1.0052083333333299</v>
      </c>
      <c r="F14">
        <v>1.0393776669952699</v>
      </c>
      <c r="R14">
        <v>0</v>
      </c>
      <c r="S14">
        <v>12</v>
      </c>
      <c r="T14">
        <v>12</v>
      </c>
      <c r="U14">
        <v>4</v>
      </c>
      <c r="Z14">
        <v>12.5038560419998</v>
      </c>
      <c r="AB14">
        <v>12.498512459002001</v>
      </c>
      <c r="AC14">
        <v>12.5038560419998</v>
      </c>
      <c r="AD14">
        <v>12.5038560419998</v>
      </c>
      <c r="AE14">
        <v>13.5466969170011</v>
      </c>
      <c r="AF14">
        <v>1.0052083333333299</v>
      </c>
      <c r="AG14">
        <v>1.0393776669952699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 t="s">
        <v>60</v>
      </c>
      <c r="BC14" t="s">
        <v>61</v>
      </c>
    </row>
    <row r="15" spans="1:55" x14ac:dyDescent="0.2">
      <c r="A15" t="s">
        <v>74</v>
      </c>
      <c r="B15">
        <v>13</v>
      </c>
      <c r="C15">
        <v>13</v>
      </c>
      <c r="D15">
        <v>0</v>
      </c>
      <c r="E15">
        <v>1.0052083333333299</v>
      </c>
      <c r="F15">
        <v>2.2375790829973901</v>
      </c>
      <c r="R15">
        <v>0</v>
      </c>
      <c r="S15">
        <v>13</v>
      </c>
      <c r="T15">
        <v>13</v>
      </c>
      <c r="U15">
        <v>15</v>
      </c>
      <c r="Z15">
        <v>13.554253375004899</v>
      </c>
      <c r="AB15">
        <v>13.549192209000401</v>
      </c>
      <c r="AC15">
        <v>13.554253375004899</v>
      </c>
      <c r="AD15">
        <v>13.554253375004899</v>
      </c>
      <c r="AE15">
        <v>15.7965837500014</v>
      </c>
      <c r="AF15">
        <v>1.0052083333333299</v>
      </c>
      <c r="AG15">
        <v>2.2375790829973901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 t="s">
        <v>60</v>
      </c>
      <c r="BC15" t="s">
        <v>61</v>
      </c>
    </row>
    <row r="16" spans="1:55" x14ac:dyDescent="0.2">
      <c r="A16" t="s">
        <v>75</v>
      </c>
      <c r="B16">
        <v>14</v>
      </c>
      <c r="C16">
        <v>14</v>
      </c>
      <c r="D16">
        <v>0</v>
      </c>
      <c r="E16">
        <v>3</v>
      </c>
      <c r="F16">
        <v>2.2383135420022802</v>
      </c>
      <c r="R16">
        <v>0</v>
      </c>
      <c r="S16">
        <v>14</v>
      </c>
      <c r="T16">
        <v>14</v>
      </c>
      <c r="U16">
        <v>0</v>
      </c>
      <c r="Z16">
        <v>15.804219500001601</v>
      </c>
      <c r="AB16">
        <v>15.799093334004199</v>
      </c>
      <c r="AC16">
        <v>15.804219500001601</v>
      </c>
      <c r="AD16">
        <v>15.804219500001601</v>
      </c>
      <c r="AE16">
        <v>18.046557749999899</v>
      </c>
      <c r="AF16">
        <v>3</v>
      </c>
      <c r="AG16">
        <v>2.2383135420022802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 t="s">
        <v>60</v>
      </c>
      <c r="BC16" t="s">
        <v>61</v>
      </c>
    </row>
    <row r="17" spans="1:55" x14ac:dyDescent="0.2">
      <c r="A17" t="s">
        <v>76</v>
      </c>
      <c r="B17">
        <v>15</v>
      </c>
      <c r="C17">
        <v>15</v>
      </c>
      <c r="D17">
        <v>0</v>
      </c>
      <c r="E17">
        <v>1</v>
      </c>
      <c r="F17">
        <v>2.0392698330033401</v>
      </c>
      <c r="R17">
        <v>0</v>
      </c>
      <c r="S17">
        <v>15</v>
      </c>
      <c r="T17">
        <v>15</v>
      </c>
      <c r="U17">
        <v>5</v>
      </c>
      <c r="Z17">
        <v>18.053121542005101</v>
      </c>
      <c r="AB17">
        <v>18.0483790840007</v>
      </c>
      <c r="AC17">
        <v>18.053121542005101</v>
      </c>
      <c r="AD17">
        <v>18.053121542005101</v>
      </c>
      <c r="AE17">
        <v>20.096565250001699</v>
      </c>
      <c r="AF17">
        <v>1</v>
      </c>
      <c r="AG17">
        <v>2.0392698330033401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 t="s">
        <v>60</v>
      </c>
      <c r="BC17" t="s">
        <v>61</v>
      </c>
    </row>
    <row r="18" spans="1:55" x14ac:dyDescent="0.2">
      <c r="A18" t="s">
        <v>77</v>
      </c>
      <c r="B18">
        <v>16</v>
      </c>
      <c r="C18">
        <v>16</v>
      </c>
      <c r="D18">
        <v>0</v>
      </c>
      <c r="E18">
        <v>1</v>
      </c>
      <c r="F18">
        <v>0.87242841599800103</v>
      </c>
      <c r="R18">
        <v>0</v>
      </c>
      <c r="S18">
        <v>16</v>
      </c>
      <c r="T18">
        <v>16</v>
      </c>
      <c r="U18">
        <v>11</v>
      </c>
      <c r="Z18">
        <v>20.103418417005699</v>
      </c>
      <c r="AB18">
        <v>20.098361584001299</v>
      </c>
      <c r="AC18">
        <v>20.103418417005699</v>
      </c>
      <c r="AD18">
        <v>20.103418417005699</v>
      </c>
      <c r="AE18">
        <v>20.9798781249992</v>
      </c>
      <c r="AF18">
        <v>1</v>
      </c>
      <c r="AG18">
        <v>0.87242841599800103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 t="s">
        <v>60</v>
      </c>
      <c r="BC18" t="s">
        <v>61</v>
      </c>
    </row>
    <row r="19" spans="1:55" x14ac:dyDescent="0.2">
      <c r="A19" t="s">
        <v>78</v>
      </c>
      <c r="B19">
        <v>17</v>
      </c>
      <c r="C19">
        <v>17</v>
      </c>
      <c r="D19">
        <v>0</v>
      </c>
      <c r="E19">
        <v>1</v>
      </c>
      <c r="F19">
        <v>1.3391609169993799</v>
      </c>
      <c r="R19">
        <v>0</v>
      </c>
      <c r="S19">
        <v>17</v>
      </c>
      <c r="T19">
        <v>17</v>
      </c>
      <c r="U19">
        <v>16</v>
      </c>
      <c r="Z19">
        <v>20.986932833999099</v>
      </c>
      <c r="AB19">
        <v>20.981568167000599</v>
      </c>
      <c r="AC19">
        <v>20.986932833999099</v>
      </c>
      <c r="AD19">
        <v>20.986932833999099</v>
      </c>
      <c r="AE19">
        <v>22.3299019170008</v>
      </c>
      <c r="AF19">
        <v>1</v>
      </c>
      <c r="AG19">
        <v>1.3391609169993799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 t="s">
        <v>60</v>
      </c>
      <c r="BC19" t="s">
        <v>61</v>
      </c>
    </row>
    <row r="20" spans="1:55" ht="34" x14ac:dyDescent="0.2">
      <c r="B20">
        <v>0</v>
      </c>
      <c r="C20">
        <v>0</v>
      </c>
      <c r="D20">
        <v>0</v>
      </c>
      <c r="G20" t="s">
        <v>79</v>
      </c>
      <c r="H20" t="s">
        <v>80</v>
      </c>
      <c r="I20" s="4" t="s">
        <v>81</v>
      </c>
      <c r="J20" s="1" t="s">
        <v>82</v>
      </c>
      <c r="K20" t="s">
        <v>83</v>
      </c>
      <c r="L20" t="s">
        <v>84</v>
      </c>
      <c r="M20" t="s">
        <v>85</v>
      </c>
      <c r="N20" t="s">
        <v>86</v>
      </c>
      <c r="O20" t="s">
        <v>86</v>
      </c>
      <c r="P20" t="s">
        <v>87</v>
      </c>
      <c r="Q20" t="s">
        <v>88</v>
      </c>
      <c r="V20">
        <v>0</v>
      </c>
      <c r="W20">
        <v>0</v>
      </c>
      <c r="X20">
        <v>0</v>
      </c>
      <c r="Y20">
        <v>12</v>
      </c>
      <c r="Z20">
        <v>22.354884542000899</v>
      </c>
      <c r="AH20">
        <v>22.340582791999601</v>
      </c>
      <c r="AI20">
        <v>22.354884542000899</v>
      </c>
      <c r="AJ20">
        <v>22.354884542000899</v>
      </c>
      <c r="AK20">
        <v>22.354884542000899</v>
      </c>
      <c r="AL20">
        <v>1.0679291997803301E-2</v>
      </c>
      <c r="AM20">
        <v>27.3721090840044</v>
      </c>
      <c r="AN20" s="1" t="s">
        <v>82</v>
      </c>
      <c r="AO20" t="s">
        <v>83</v>
      </c>
      <c r="AP20" t="s">
        <v>84</v>
      </c>
      <c r="AQ20" t="s">
        <v>85</v>
      </c>
      <c r="AR20" t="s">
        <v>86</v>
      </c>
      <c r="AS20" t="s">
        <v>86</v>
      </c>
      <c r="AT20" t="s">
        <v>87</v>
      </c>
      <c r="AU20" t="s">
        <v>88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 t="s">
        <v>60</v>
      </c>
      <c r="BC20" t="s">
        <v>61</v>
      </c>
    </row>
    <row r="21" spans="1:55" x14ac:dyDescent="0.2">
      <c r="B21">
        <v>1</v>
      </c>
      <c r="C21">
        <v>1</v>
      </c>
      <c r="D21">
        <v>0</v>
      </c>
      <c r="G21" t="s">
        <v>89</v>
      </c>
      <c r="H21" t="s">
        <v>90</v>
      </c>
      <c r="I21" s="4" t="s">
        <v>81</v>
      </c>
      <c r="J21" t="s">
        <v>90</v>
      </c>
      <c r="K21" t="s">
        <v>91</v>
      </c>
      <c r="L21" t="s">
        <v>92</v>
      </c>
      <c r="M21" t="s">
        <v>85</v>
      </c>
      <c r="N21" t="s">
        <v>86</v>
      </c>
      <c r="O21" t="s">
        <v>86</v>
      </c>
      <c r="P21" t="s">
        <v>93</v>
      </c>
      <c r="Q21" t="s">
        <v>88</v>
      </c>
      <c r="V21">
        <v>0</v>
      </c>
      <c r="W21">
        <v>1</v>
      </c>
      <c r="X21">
        <v>1</v>
      </c>
      <c r="Y21">
        <v>11</v>
      </c>
      <c r="Z21">
        <v>27.397593417001101</v>
      </c>
      <c r="AH21">
        <v>27.374214334005899</v>
      </c>
      <c r="AI21">
        <v>27.397593417001101</v>
      </c>
      <c r="AJ21">
        <v>27.397593417001101</v>
      </c>
      <c r="AK21">
        <v>27.397593417001101</v>
      </c>
      <c r="AL21">
        <v>1.9514579980750501E-3</v>
      </c>
      <c r="AM21">
        <v>31.786935459000201</v>
      </c>
      <c r="AN21" t="s">
        <v>90</v>
      </c>
      <c r="AO21" t="s">
        <v>91</v>
      </c>
      <c r="AP21" t="s">
        <v>92</v>
      </c>
      <c r="AQ21" t="s">
        <v>85</v>
      </c>
      <c r="AR21" t="s">
        <v>86</v>
      </c>
      <c r="AS21" t="s">
        <v>86</v>
      </c>
      <c r="AT21" t="s">
        <v>93</v>
      </c>
      <c r="AU21" t="s">
        <v>88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 t="s">
        <v>60</v>
      </c>
      <c r="BC21" t="s">
        <v>61</v>
      </c>
    </row>
    <row r="22" spans="1:55" x14ac:dyDescent="0.2">
      <c r="B22">
        <v>2</v>
      </c>
      <c r="C22">
        <v>2</v>
      </c>
      <c r="D22">
        <v>0</v>
      </c>
      <c r="G22" t="s">
        <v>94</v>
      </c>
      <c r="H22" t="s">
        <v>77</v>
      </c>
      <c r="I22" s="4" t="s">
        <v>81</v>
      </c>
      <c r="J22" t="s">
        <v>77</v>
      </c>
      <c r="K22" t="s">
        <v>95</v>
      </c>
      <c r="L22" t="s">
        <v>96</v>
      </c>
      <c r="M22" t="s">
        <v>97</v>
      </c>
      <c r="N22" t="s">
        <v>98</v>
      </c>
      <c r="O22" t="s">
        <v>98</v>
      </c>
      <c r="P22" t="s">
        <v>99</v>
      </c>
      <c r="Q22" t="s">
        <v>100</v>
      </c>
      <c r="V22">
        <v>0</v>
      </c>
      <c r="W22">
        <v>2</v>
      </c>
      <c r="X22">
        <v>2</v>
      </c>
      <c r="Y22">
        <v>6</v>
      </c>
      <c r="Z22">
        <v>31.796629292002699</v>
      </c>
      <c r="AH22">
        <v>31.7888912920025</v>
      </c>
      <c r="AI22">
        <v>31.796629292002699</v>
      </c>
      <c r="AJ22">
        <v>31.796629292002699</v>
      </c>
      <c r="AK22">
        <v>31.796629292002699</v>
      </c>
      <c r="AL22">
        <v>1.8455000026733599E-3</v>
      </c>
      <c r="AM22">
        <v>35.490107375000598</v>
      </c>
      <c r="AN22" t="s">
        <v>77</v>
      </c>
      <c r="AO22" t="s">
        <v>95</v>
      </c>
      <c r="AP22" t="s">
        <v>96</v>
      </c>
      <c r="AQ22" t="s">
        <v>97</v>
      </c>
      <c r="AR22" t="s">
        <v>98</v>
      </c>
      <c r="AS22" t="s">
        <v>98</v>
      </c>
      <c r="AT22" t="s">
        <v>99</v>
      </c>
      <c r="AU22" t="s">
        <v>100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 t="s">
        <v>60</v>
      </c>
      <c r="BC22" t="s">
        <v>61</v>
      </c>
    </row>
    <row r="23" spans="1:55" x14ac:dyDescent="0.2">
      <c r="B23">
        <v>3</v>
      </c>
      <c r="C23">
        <v>3</v>
      </c>
      <c r="D23">
        <v>0</v>
      </c>
      <c r="G23" t="s">
        <v>101</v>
      </c>
      <c r="H23" t="s">
        <v>67</v>
      </c>
      <c r="I23" s="4" t="s">
        <v>81</v>
      </c>
      <c r="J23" t="s">
        <v>67</v>
      </c>
      <c r="K23" t="s">
        <v>95</v>
      </c>
      <c r="L23" t="s">
        <v>96</v>
      </c>
      <c r="M23" t="s">
        <v>97</v>
      </c>
      <c r="N23" t="s">
        <v>98</v>
      </c>
      <c r="O23" t="s">
        <v>98</v>
      </c>
      <c r="P23" t="s">
        <v>102</v>
      </c>
      <c r="Q23" t="s">
        <v>100</v>
      </c>
      <c r="V23">
        <v>0</v>
      </c>
      <c r="W23">
        <v>3</v>
      </c>
      <c r="X23">
        <v>3</v>
      </c>
      <c r="Y23">
        <v>2</v>
      </c>
      <c r="Z23">
        <v>35.501299959003497</v>
      </c>
      <c r="AH23">
        <v>35.492114167005603</v>
      </c>
      <c r="AI23">
        <v>35.501299959003497</v>
      </c>
      <c r="AJ23">
        <v>35.501299959003497</v>
      </c>
      <c r="AK23">
        <v>35.501299959003497</v>
      </c>
      <c r="AL23">
        <v>1.90204200043808E-3</v>
      </c>
      <c r="AM23">
        <v>37.620923792004703</v>
      </c>
      <c r="AN23" t="s">
        <v>67</v>
      </c>
      <c r="AO23" t="s">
        <v>95</v>
      </c>
      <c r="AP23" t="s">
        <v>96</v>
      </c>
      <c r="AQ23" t="s">
        <v>97</v>
      </c>
      <c r="AR23" t="s">
        <v>98</v>
      </c>
      <c r="AS23" t="s">
        <v>98</v>
      </c>
      <c r="AT23" t="s">
        <v>102</v>
      </c>
      <c r="AU23" t="s">
        <v>100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 t="s">
        <v>60</v>
      </c>
      <c r="BC23" t="s">
        <v>61</v>
      </c>
    </row>
    <row r="24" spans="1:55" x14ac:dyDescent="0.2">
      <c r="B24">
        <v>4</v>
      </c>
      <c r="C24">
        <v>4</v>
      </c>
      <c r="D24">
        <v>0</v>
      </c>
      <c r="G24" t="s">
        <v>103</v>
      </c>
      <c r="H24" t="s">
        <v>104</v>
      </c>
      <c r="I24" t="s">
        <v>105</v>
      </c>
      <c r="J24" t="s">
        <v>104</v>
      </c>
      <c r="K24" t="s">
        <v>95</v>
      </c>
      <c r="L24" t="s">
        <v>96</v>
      </c>
      <c r="M24" t="s">
        <v>97</v>
      </c>
      <c r="N24" t="s">
        <v>98</v>
      </c>
      <c r="O24" t="s">
        <v>98</v>
      </c>
      <c r="P24" t="s">
        <v>106</v>
      </c>
      <c r="Q24" t="s">
        <v>100</v>
      </c>
      <c r="V24">
        <v>0</v>
      </c>
      <c r="W24">
        <v>4</v>
      </c>
      <c r="X24">
        <v>4</v>
      </c>
      <c r="Y24">
        <v>22</v>
      </c>
      <c r="Z24">
        <v>37.630563584003497</v>
      </c>
      <c r="AH24">
        <v>37.623068417000397</v>
      </c>
      <c r="AI24">
        <v>37.630563584003497</v>
      </c>
      <c r="AJ24">
        <v>37.630563584003497</v>
      </c>
      <c r="AK24">
        <v>37.630563584003497</v>
      </c>
      <c r="AL24">
        <v>2.03837500157533E-3</v>
      </c>
      <c r="AM24">
        <v>40.220577125001</v>
      </c>
      <c r="AN24" t="s">
        <v>104</v>
      </c>
      <c r="AO24" t="s">
        <v>95</v>
      </c>
      <c r="AP24" t="s">
        <v>96</v>
      </c>
      <c r="AQ24" t="s">
        <v>97</v>
      </c>
      <c r="AR24" t="s">
        <v>98</v>
      </c>
      <c r="AS24" t="s">
        <v>98</v>
      </c>
      <c r="AT24" t="s">
        <v>106</v>
      </c>
      <c r="AU24" t="s">
        <v>100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 t="s">
        <v>60</v>
      </c>
      <c r="BC24" t="s">
        <v>61</v>
      </c>
    </row>
    <row r="25" spans="1:55" x14ac:dyDescent="0.2">
      <c r="B25">
        <v>5</v>
      </c>
      <c r="C25">
        <v>5</v>
      </c>
      <c r="D25">
        <v>0</v>
      </c>
      <c r="G25" t="s">
        <v>107</v>
      </c>
      <c r="H25" t="s">
        <v>108</v>
      </c>
      <c r="I25" s="4" t="s">
        <v>81</v>
      </c>
      <c r="J25" t="s">
        <v>108</v>
      </c>
      <c r="K25" t="s">
        <v>95</v>
      </c>
      <c r="L25" t="s">
        <v>96</v>
      </c>
      <c r="M25" t="s">
        <v>97</v>
      </c>
      <c r="N25" t="s">
        <v>98</v>
      </c>
      <c r="O25" t="s">
        <v>98</v>
      </c>
      <c r="P25" t="s">
        <v>109</v>
      </c>
      <c r="Q25" t="s">
        <v>100</v>
      </c>
      <c r="V25">
        <v>0</v>
      </c>
      <c r="W25">
        <v>5</v>
      </c>
      <c r="X25">
        <v>5</v>
      </c>
      <c r="Y25">
        <v>10</v>
      </c>
      <c r="Z25">
        <v>40.2305630420014</v>
      </c>
      <c r="AH25">
        <v>40.222928959003099</v>
      </c>
      <c r="AI25">
        <v>40.2305630420014</v>
      </c>
      <c r="AJ25">
        <v>40.2305630420014</v>
      </c>
      <c r="AK25">
        <v>40.2305630420014</v>
      </c>
      <c r="AL25">
        <v>2.2272079950198501E-3</v>
      </c>
      <c r="AM25">
        <v>42.654644959002297</v>
      </c>
      <c r="AN25" t="s">
        <v>108</v>
      </c>
      <c r="AO25" t="s">
        <v>95</v>
      </c>
      <c r="AP25" t="s">
        <v>96</v>
      </c>
      <c r="AQ25" t="s">
        <v>97</v>
      </c>
      <c r="AR25" t="s">
        <v>98</v>
      </c>
      <c r="AS25" t="s">
        <v>98</v>
      </c>
      <c r="AT25" t="s">
        <v>109</v>
      </c>
      <c r="AU25" t="s">
        <v>100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 t="s">
        <v>60</v>
      </c>
      <c r="BC25" t="s">
        <v>61</v>
      </c>
    </row>
    <row r="26" spans="1:55" x14ac:dyDescent="0.2">
      <c r="B26">
        <v>6</v>
      </c>
      <c r="C26">
        <v>6</v>
      </c>
      <c r="D26">
        <v>0</v>
      </c>
      <c r="G26" t="s">
        <v>110</v>
      </c>
      <c r="H26" t="s">
        <v>111</v>
      </c>
      <c r="I26" t="s">
        <v>105</v>
      </c>
      <c r="J26" s="2" t="s">
        <v>112</v>
      </c>
      <c r="K26" t="s">
        <v>113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V26">
        <v>0</v>
      </c>
      <c r="W26">
        <v>6</v>
      </c>
      <c r="X26">
        <v>6</v>
      </c>
      <c r="Y26">
        <v>19</v>
      </c>
      <c r="Z26">
        <v>42.680844292000899</v>
      </c>
      <c r="AH26">
        <v>42.657130459003298</v>
      </c>
      <c r="AI26">
        <v>42.680844292000899</v>
      </c>
      <c r="AJ26">
        <v>42.680844292000899</v>
      </c>
      <c r="AK26">
        <v>42.680844292000899</v>
      </c>
      <c r="AL26">
        <v>2.3664999971515499E-3</v>
      </c>
      <c r="AM26">
        <v>52.663423083999</v>
      </c>
      <c r="AN26" t="s">
        <v>112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 t="s">
        <v>60</v>
      </c>
      <c r="BC26" t="s">
        <v>61</v>
      </c>
    </row>
    <row r="27" spans="1:55" x14ac:dyDescent="0.2">
      <c r="B27">
        <v>7</v>
      </c>
      <c r="C27">
        <v>7</v>
      </c>
      <c r="D27">
        <v>0</v>
      </c>
      <c r="G27" t="s">
        <v>114</v>
      </c>
      <c r="H27" t="s">
        <v>71</v>
      </c>
      <c r="I27" s="4" t="s">
        <v>115</v>
      </c>
      <c r="J27" t="s">
        <v>116</v>
      </c>
      <c r="K27" t="s">
        <v>95</v>
      </c>
      <c r="L27" t="s">
        <v>117</v>
      </c>
      <c r="M27" t="s">
        <v>97</v>
      </c>
      <c r="N27" t="s">
        <v>98</v>
      </c>
      <c r="O27" t="s">
        <v>98</v>
      </c>
      <c r="P27" t="s">
        <v>118</v>
      </c>
      <c r="Q27" t="s">
        <v>100</v>
      </c>
      <c r="V27">
        <v>0</v>
      </c>
      <c r="W27">
        <v>7</v>
      </c>
      <c r="X27">
        <v>7</v>
      </c>
      <c r="Y27">
        <v>18</v>
      </c>
      <c r="Z27">
        <v>52.675355541999998</v>
      </c>
      <c r="AH27">
        <v>52.665679292003901</v>
      </c>
      <c r="AI27">
        <v>52.675355541999998</v>
      </c>
      <c r="AJ27">
        <v>52.675355541999998</v>
      </c>
      <c r="AK27">
        <v>52.675355541999998</v>
      </c>
      <c r="AL27">
        <v>1.0917957995843599E-2</v>
      </c>
      <c r="AM27">
        <v>56.704500334002603</v>
      </c>
      <c r="AN27" t="s">
        <v>116</v>
      </c>
      <c r="AO27" t="s">
        <v>95</v>
      </c>
      <c r="AP27" t="s">
        <v>117</v>
      </c>
      <c r="AQ27" t="s">
        <v>97</v>
      </c>
      <c r="AR27" t="s">
        <v>98</v>
      </c>
      <c r="AS27" t="s">
        <v>98</v>
      </c>
      <c r="AT27" t="s">
        <v>118</v>
      </c>
      <c r="AU27" t="s">
        <v>100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 t="s">
        <v>60</v>
      </c>
      <c r="BC27" t="s">
        <v>61</v>
      </c>
    </row>
    <row r="28" spans="1:55" x14ac:dyDescent="0.2">
      <c r="B28">
        <v>8</v>
      </c>
      <c r="C28">
        <v>8</v>
      </c>
      <c r="D28">
        <v>0</v>
      </c>
      <c r="G28" t="s">
        <v>119</v>
      </c>
      <c r="H28" t="s">
        <v>120</v>
      </c>
      <c r="I28" t="s">
        <v>105</v>
      </c>
      <c r="J28" t="s">
        <v>120</v>
      </c>
      <c r="K28" t="s">
        <v>121</v>
      </c>
      <c r="L28" t="s">
        <v>117</v>
      </c>
      <c r="M28" t="s">
        <v>97</v>
      </c>
      <c r="N28" t="s">
        <v>98</v>
      </c>
      <c r="O28" t="s">
        <v>98</v>
      </c>
      <c r="P28" t="s">
        <v>122</v>
      </c>
      <c r="Q28" t="s">
        <v>100</v>
      </c>
      <c r="V28">
        <v>0</v>
      </c>
      <c r="W28">
        <v>8</v>
      </c>
      <c r="X28">
        <v>8</v>
      </c>
      <c r="Y28">
        <v>23</v>
      </c>
      <c r="Z28">
        <v>56.714253000005499</v>
      </c>
      <c r="AH28">
        <v>56.706893000002303</v>
      </c>
      <c r="AI28">
        <v>56.714253000005499</v>
      </c>
      <c r="AJ28">
        <v>56.714253000005499</v>
      </c>
      <c r="AK28">
        <v>56.714253000005499</v>
      </c>
      <c r="AL28">
        <v>2.2869590029586098E-3</v>
      </c>
      <c r="AM28">
        <v>61.954107542005602</v>
      </c>
      <c r="AN28" t="s">
        <v>120</v>
      </c>
      <c r="AO28" t="s">
        <v>121</v>
      </c>
      <c r="AP28" t="s">
        <v>117</v>
      </c>
      <c r="AQ28" t="s">
        <v>97</v>
      </c>
      <c r="AR28" t="s">
        <v>98</v>
      </c>
      <c r="AS28" t="s">
        <v>98</v>
      </c>
      <c r="AT28" t="s">
        <v>122</v>
      </c>
      <c r="AU28" t="s">
        <v>100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 t="s">
        <v>60</v>
      </c>
      <c r="BC28" t="s">
        <v>61</v>
      </c>
    </row>
    <row r="29" spans="1:55" x14ac:dyDescent="0.2">
      <c r="B29">
        <v>9</v>
      </c>
      <c r="C29">
        <v>9</v>
      </c>
      <c r="D29">
        <v>0</v>
      </c>
      <c r="G29" t="s">
        <v>123</v>
      </c>
      <c r="H29" t="s">
        <v>76</v>
      </c>
      <c r="I29" s="4" t="s">
        <v>81</v>
      </c>
      <c r="J29" t="s">
        <v>76</v>
      </c>
      <c r="K29" t="s">
        <v>121</v>
      </c>
      <c r="L29" t="s">
        <v>117</v>
      </c>
      <c r="M29" t="s">
        <v>97</v>
      </c>
      <c r="N29" t="s">
        <v>98</v>
      </c>
      <c r="O29" t="s">
        <v>98</v>
      </c>
      <c r="P29" t="s">
        <v>124</v>
      </c>
      <c r="Q29" t="s">
        <v>100</v>
      </c>
      <c r="V29">
        <v>0</v>
      </c>
      <c r="W29">
        <v>9</v>
      </c>
      <c r="X29">
        <v>9</v>
      </c>
      <c r="Y29">
        <v>5</v>
      </c>
      <c r="Z29">
        <v>61.964163542004798</v>
      </c>
      <c r="AH29">
        <v>61.956435500003799</v>
      </c>
      <c r="AI29">
        <v>61.964163542004798</v>
      </c>
      <c r="AJ29">
        <v>61.964163542004798</v>
      </c>
      <c r="AK29">
        <v>61.964163542004798</v>
      </c>
      <c r="AL29">
        <v>2.22091699833981E-3</v>
      </c>
      <c r="AM29">
        <v>65.504728667001402</v>
      </c>
      <c r="AN29" t="s">
        <v>76</v>
      </c>
      <c r="AO29" t="s">
        <v>121</v>
      </c>
      <c r="AP29" t="s">
        <v>117</v>
      </c>
      <c r="AQ29" t="s">
        <v>97</v>
      </c>
      <c r="AR29" t="s">
        <v>98</v>
      </c>
      <c r="AS29" t="s">
        <v>98</v>
      </c>
      <c r="AT29" t="s">
        <v>124</v>
      </c>
      <c r="AU29" t="s">
        <v>100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 t="s">
        <v>60</v>
      </c>
      <c r="BC29" t="s">
        <v>61</v>
      </c>
    </row>
    <row r="30" spans="1:55" x14ac:dyDescent="0.2">
      <c r="B30">
        <v>10</v>
      </c>
      <c r="C30">
        <v>10</v>
      </c>
      <c r="D30">
        <v>0</v>
      </c>
      <c r="G30" t="s">
        <v>125</v>
      </c>
      <c r="H30" t="s">
        <v>126</v>
      </c>
      <c r="I30" s="4" t="s">
        <v>81</v>
      </c>
      <c r="J30" t="s">
        <v>126</v>
      </c>
      <c r="K30" t="s">
        <v>121</v>
      </c>
      <c r="L30" t="s">
        <v>117</v>
      </c>
      <c r="M30" t="s">
        <v>97</v>
      </c>
      <c r="N30" t="s">
        <v>98</v>
      </c>
      <c r="O30" t="s">
        <v>98</v>
      </c>
      <c r="P30" t="s">
        <v>127</v>
      </c>
      <c r="Q30" t="s">
        <v>100</v>
      </c>
      <c r="V30">
        <v>0</v>
      </c>
      <c r="W30">
        <v>10</v>
      </c>
      <c r="X30">
        <v>10</v>
      </c>
      <c r="Y30">
        <v>13</v>
      </c>
      <c r="Z30">
        <v>65.530786875002306</v>
      </c>
      <c r="AH30">
        <v>65.507058667004401</v>
      </c>
      <c r="AI30">
        <v>65.530786875002306</v>
      </c>
      <c r="AJ30">
        <v>65.530786875002306</v>
      </c>
      <c r="AK30">
        <v>65.530786875002306</v>
      </c>
      <c r="AL30">
        <v>2.22412499715574E-3</v>
      </c>
      <c r="AM30">
        <v>68.670438500004806</v>
      </c>
      <c r="AN30" t="s">
        <v>126</v>
      </c>
      <c r="AO30" t="s">
        <v>121</v>
      </c>
      <c r="AP30" t="s">
        <v>117</v>
      </c>
      <c r="AQ30" t="s">
        <v>97</v>
      </c>
      <c r="AR30" t="s">
        <v>98</v>
      </c>
      <c r="AS30" t="s">
        <v>98</v>
      </c>
      <c r="AT30" t="s">
        <v>127</v>
      </c>
      <c r="AU30" t="s">
        <v>100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 t="s">
        <v>60</v>
      </c>
      <c r="BC30" t="s">
        <v>61</v>
      </c>
    </row>
    <row r="31" spans="1:55" x14ac:dyDescent="0.2">
      <c r="B31">
        <v>11</v>
      </c>
      <c r="C31">
        <v>11</v>
      </c>
      <c r="D31">
        <v>0</v>
      </c>
      <c r="G31" t="s">
        <v>128</v>
      </c>
      <c r="H31" t="s">
        <v>129</v>
      </c>
      <c r="I31" s="4" t="s">
        <v>81</v>
      </c>
      <c r="J31" t="s">
        <v>129</v>
      </c>
      <c r="K31" t="s">
        <v>121</v>
      </c>
      <c r="L31" t="s">
        <v>117</v>
      </c>
      <c r="M31" t="s">
        <v>97</v>
      </c>
      <c r="N31" t="s">
        <v>98</v>
      </c>
      <c r="O31" t="s">
        <v>98</v>
      </c>
      <c r="P31" t="s">
        <v>130</v>
      </c>
      <c r="Q31" t="s">
        <v>100</v>
      </c>
      <c r="V31">
        <v>0</v>
      </c>
      <c r="W31">
        <v>11</v>
      </c>
      <c r="X31">
        <v>11</v>
      </c>
      <c r="Y31">
        <v>8</v>
      </c>
      <c r="Z31">
        <v>68.680219125002594</v>
      </c>
      <c r="AH31">
        <v>68.672681250005496</v>
      </c>
      <c r="AI31">
        <v>68.680219125002594</v>
      </c>
      <c r="AJ31">
        <v>68.680219125002594</v>
      </c>
      <c r="AK31">
        <v>68.680219125002594</v>
      </c>
      <c r="AL31">
        <v>2.1416250019683498E-3</v>
      </c>
      <c r="AM31">
        <v>71.371662917001203</v>
      </c>
      <c r="AN31" t="s">
        <v>129</v>
      </c>
      <c r="AO31" t="s">
        <v>121</v>
      </c>
      <c r="AP31" t="s">
        <v>117</v>
      </c>
      <c r="AQ31" t="s">
        <v>97</v>
      </c>
      <c r="AR31" t="s">
        <v>98</v>
      </c>
      <c r="AS31" t="s">
        <v>98</v>
      </c>
      <c r="AT31" t="s">
        <v>130</v>
      </c>
      <c r="AU31" t="s">
        <v>100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 t="s">
        <v>60</v>
      </c>
      <c r="BC31" t="s">
        <v>61</v>
      </c>
    </row>
    <row r="32" spans="1:55" x14ac:dyDescent="0.2">
      <c r="B32">
        <v>12</v>
      </c>
      <c r="C32">
        <v>12</v>
      </c>
      <c r="D32">
        <v>0</v>
      </c>
      <c r="G32" t="s">
        <v>131</v>
      </c>
      <c r="H32" t="s">
        <v>75</v>
      </c>
      <c r="I32" s="4" t="s">
        <v>115</v>
      </c>
      <c r="J32" t="s">
        <v>80</v>
      </c>
      <c r="K32" t="s">
        <v>121</v>
      </c>
      <c r="L32" t="s">
        <v>117</v>
      </c>
      <c r="M32" t="s">
        <v>97</v>
      </c>
      <c r="N32" t="s">
        <v>98</v>
      </c>
      <c r="O32" t="s">
        <v>98</v>
      </c>
      <c r="P32" t="s">
        <v>132</v>
      </c>
      <c r="Q32" t="s">
        <v>100</v>
      </c>
      <c r="V32">
        <v>0</v>
      </c>
      <c r="W32">
        <v>12</v>
      </c>
      <c r="X32">
        <v>12</v>
      </c>
      <c r="Y32">
        <v>0</v>
      </c>
      <c r="Z32">
        <v>71.397493000004005</v>
      </c>
      <c r="AH32">
        <v>71.374333125000703</v>
      </c>
      <c r="AI32">
        <v>71.397493000004005</v>
      </c>
      <c r="AJ32">
        <v>71.397493000004005</v>
      </c>
      <c r="AK32">
        <v>71.397493000004005</v>
      </c>
      <c r="AL32">
        <v>2.5443330014240902E-3</v>
      </c>
      <c r="AM32">
        <v>74.120598417001005</v>
      </c>
      <c r="AN32" t="s">
        <v>80</v>
      </c>
      <c r="AO32" t="s">
        <v>121</v>
      </c>
      <c r="AP32" t="s">
        <v>117</v>
      </c>
      <c r="AQ32" t="s">
        <v>97</v>
      </c>
      <c r="AR32" t="s">
        <v>98</v>
      </c>
      <c r="AS32" t="s">
        <v>98</v>
      </c>
      <c r="AT32" t="s">
        <v>132</v>
      </c>
      <c r="AU32" t="s">
        <v>100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 t="s">
        <v>60</v>
      </c>
      <c r="BC32" t="s">
        <v>61</v>
      </c>
    </row>
    <row r="33" spans="2:55" x14ac:dyDescent="0.2">
      <c r="B33">
        <v>13</v>
      </c>
      <c r="C33">
        <v>13</v>
      </c>
      <c r="D33">
        <v>0</v>
      </c>
      <c r="G33" t="s">
        <v>133</v>
      </c>
      <c r="H33" t="s">
        <v>70</v>
      </c>
      <c r="I33" s="4" t="s">
        <v>81</v>
      </c>
      <c r="J33" t="s">
        <v>70</v>
      </c>
      <c r="K33" t="s">
        <v>121</v>
      </c>
      <c r="L33" t="s">
        <v>117</v>
      </c>
      <c r="M33" t="s">
        <v>97</v>
      </c>
      <c r="N33" t="s">
        <v>98</v>
      </c>
      <c r="O33" t="s">
        <v>98</v>
      </c>
      <c r="P33" t="s">
        <v>134</v>
      </c>
      <c r="Q33" t="s">
        <v>100</v>
      </c>
      <c r="V33">
        <v>0</v>
      </c>
      <c r="W33">
        <v>13</v>
      </c>
      <c r="X33">
        <v>13</v>
      </c>
      <c r="Y33">
        <v>1</v>
      </c>
      <c r="Z33">
        <v>74.130463749999706</v>
      </c>
      <c r="AH33">
        <v>74.122801875004299</v>
      </c>
      <c r="AI33">
        <v>74.130463749999706</v>
      </c>
      <c r="AJ33">
        <v>74.130463749999706</v>
      </c>
      <c r="AK33">
        <v>74.130463749999706</v>
      </c>
      <c r="AL33">
        <v>2.0982920032110901E-3</v>
      </c>
      <c r="AM33">
        <v>76.254674667005006</v>
      </c>
      <c r="AN33" t="s">
        <v>70</v>
      </c>
      <c r="AO33" t="s">
        <v>121</v>
      </c>
      <c r="AP33" t="s">
        <v>117</v>
      </c>
      <c r="AQ33" t="s">
        <v>97</v>
      </c>
      <c r="AR33" t="s">
        <v>98</v>
      </c>
      <c r="AS33" t="s">
        <v>98</v>
      </c>
      <c r="AT33" t="s">
        <v>134</v>
      </c>
      <c r="AU33" t="s">
        <v>100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 t="s">
        <v>60</v>
      </c>
      <c r="BC33" t="s">
        <v>61</v>
      </c>
    </row>
    <row r="34" spans="2:55" x14ac:dyDescent="0.2">
      <c r="B34">
        <v>14</v>
      </c>
      <c r="C34">
        <v>14</v>
      </c>
      <c r="D34">
        <v>0</v>
      </c>
      <c r="G34" t="s">
        <v>135</v>
      </c>
      <c r="H34" t="s">
        <v>73</v>
      </c>
      <c r="I34" s="4" t="s">
        <v>81</v>
      </c>
      <c r="J34" t="s">
        <v>73</v>
      </c>
      <c r="K34" t="s">
        <v>121</v>
      </c>
      <c r="L34" t="s">
        <v>117</v>
      </c>
      <c r="M34" t="s">
        <v>97</v>
      </c>
      <c r="N34" t="s">
        <v>98</v>
      </c>
      <c r="O34" t="s">
        <v>98</v>
      </c>
      <c r="P34" t="s">
        <v>136</v>
      </c>
      <c r="Q34" t="s">
        <v>100</v>
      </c>
      <c r="V34">
        <v>0</v>
      </c>
      <c r="W34">
        <v>14</v>
      </c>
      <c r="X34">
        <v>14</v>
      </c>
      <c r="Y34">
        <v>4</v>
      </c>
      <c r="Z34">
        <v>76.280832667005598</v>
      </c>
      <c r="AH34">
        <v>76.2572022090025</v>
      </c>
      <c r="AI34">
        <v>76.280832667005598</v>
      </c>
      <c r="AJ34">
        <v>76.280832667005598</v>
      </c>
      <c r="AK34">
        <v>76.280832667005598</v>
      </c>
      <c r="AL34">
        <v>2.4236660028691399E-3</v>
      </c>
      <c r="AM34">
        <v>78.506927375005006</v>
      </c>
      <c r="AN34" t="s">
        <v>73</v>
      </c>
      <c r="AO34" t="s">
        <v>121</v>
      </c>
      <c r="AP34" t="s">
        <v>117</v>
      </c>
      <c r="AQ34" t="s">
        <v>97</v>
      </c>
      <c r="AR34" t="s">
        <v>98</v>
      </c>
      <c r="AS34" t="s">
        <v>98</v>
      </c>
      <c r="AT34" t="s">
        <v>136</v>
      </c>
      <c r="AU34" t="s">
        <v>100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 t="s">
        <v>60</v>
      </c>
      <c r="BC34" t="s">
        <v>61</v>
      </c>
    </row>
    <row r="35" spans="2:55" x14ac:dyDescent="0.2">
      <c r="B35">
        <v>15</v>
      </c>
      <c r="C35">
        <v>15</v>
      </c>
      <c r="D35">
        <v>0</v>
      </c>
      <c r="G35" t="s">
        <v>137</v>
      </c>
      <c r="H35" t="s">
        <v>66</v>
      </c>
      <c r="I35" s="4" t="s">
        <v>115</v>
      </c>
      <c r="J35" t="s">
        <v>66</v>
      </c>
      <c r="K35" t="s">
        <v>121</v>
      </c>
      <c r="L35" t="s">
        <v>117</v>
      </c>
      <c r="M35" t="s">
        <v>97</v>
      </c>
      <c r="N35" t="s">
        <v>98</v>
      </c>
      <c r="O35" t="s">
        <v>98</v>
      </c>
      <c r="P35" t="s">
        <v>138</v>
      </c>
      <c r="Q35" t="s">
        <v>100</v>
      </c>
      <c r="V35">
        <v>0</v>
      </c>
      <c r="W35">
        <v>15</v>
      </c>
      <c r="X35">
        <v>15</v>
      </c>
      <c r="Y35">
        <v>17</v>
      </c>
      <c r="Z35">
        <v>78.517967375002598</v>
      </c>
      <c r="AH35">
        <v>78.509158959000999</v>
      </c>
      <c r="AI35">
        <v>78.517967375002598</v>
      </c>
      <c r="AJ35">
        <v>78.517967375002598</v>
      </c>
      <c r="AK35">
        <v>78.517967375002598</v>
      </c>
      <c r="AL35">
        <v>2.1289590004016602E-3</v>
      </c>
      <c r="AM35">
        <v>85.387659500003707</v>
      </c>
      <c r="AN35" t="s">
        <v>66</v>
      </c>
      <c r="AO35" t="s">
        <v>121</v>
      </c>
      <c r="AP35" t="s">
        <v>117</v>
      </c>
      <c r="AQ35" t="s">
        <v>97</v>
      </c>
      <c r="AR35" t="s">
        <v>98</v>
      </c>
      <c r="AS35" t="s">
        <v>98</v>
      </c>
      <c r="AT35" t="s">
        <v>138</v>
      </c>
      <c r="AU35" t="s">
        <v>100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 t="s">
        <v>60</v>
      </c>
      <c r="BC35" t="s">
        <v>61</v>
      </c>
    </row>
    <row r="36" spans="2:55" x14ac:dyDescent="0.2">
      <c r="B36">
        <v>16</v>
      </c>
      <c r="C36">
        <v>16</v>
      </c>
      <c r="D36">
        <v>0</v>
      </c>
      <c r="G36" t="s">
        <v>139</v>
      </c>
      <c r="H36" t="s">
        <v>140</v>
      </c>
      <c r="I36" s="4" t="s">
        <v>81</v>
      </c>
      <c r="J36" t="s">
        <v>140</v>
      </c>
      <c r="K36" t="s">
        <v>121</v>
      </c>
      <c r="L36" t="s">
        <v>117</v>
      </c>
      <c r="M36" t="s">
        <v>97</v>
      </c>
      <c r="N36" t="s">
        <v>98</v>
      </c>
      <c r="O36" t="s">
        <v>98</v>
      </c>
      <c r="P36" t="s">
        <v>141</v>
      </c>
      <c r="Q36" t="s">
        <v>100</v>
      </c>
      <c r="V36">
        <v>0</v>
      </c>
      <c r="W36">
        <v>16</v>
      </c>
      <c r="X36">
        <v>16</v>
      </c>
      <c r="Y36">
        <v>14</v>
      </c>
      <c r="Z36">
        <v>85.413935459000598</v>
      </c>
      <c r="AH36">
        <v>85.389985917005106</v>
      </c>
      <c r="AI36">
        <v>85.413935459000598</v>
      </c>
      <c r="AJ36">
        <v>85.413935459000598</v>
      </c>
      <c r="AK36">
        <v>85.413935459000598</v>
      </c>
      <c r="AL36">
        <v>2.2206249996088402E-3</v>
      </c>
      <c r="AM36">
        <v>87.604797416999602</v>
      </c>
      <c r="AN36" t="s">
        <v>140</v>
      </c>
      <c r="AO36" t="s">
        <v>121</v>
      </c>
      <c r="AP36" t="s">
        <v>117</v>
      </c>
      <c r="AQ36" t="s">
        <v>97</v>
      </c>
      <c r="AR36" t="s">
        <v>98</v>
      </c>
      <c r="AS36" t="s">
        <v>98</v>
      </c>
      <c r="AT36" t="s">
        <v>141</v>
      </c>
      <c r="AU36" t="s">
        <v>100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 t="s">
        <v>60</v>
      </c>
      <c r="BC36" t="s">
        <v>61</v>
      </c>
    </row>
    <row r="37" spans="2:55" x14ac:dyDescent="0.2">
      <c r="B37">
        <v>17</v>
      </c>
      <c r="C37">
        <v>17</v>
      </c>
      <c r="D37">
        <v>0</v>
      </c>
      <c r="G37" t="s">
        <v>142</v>
      </c>
      <c r="H37" t="s">
        <v>143</v>
      </c>
      <c r="I37" s="4" t="s">
        <v>115</v>
      </c>
      <c r="J37" s="2" t="s">
        <v>90</v>
      </c>
      <c r="K37" t="s">
        <v>121</v>
      </c>
      <c r="L37" t="s">
        <v>117</v>
      </c>
      <c r="M37" t="s">
        <v>97</v>
      </c>
      <c r="N37" t="s">
        <v>98</v>
      </c>
      <c r="O37" t="s">
        <v>98</v>
      </c>
      <c r="P37" t="s">
        <v>144</v>
      </c>
      <c r="Q37" t="s">
        <v>100</v>
      </c>
      <c r="V37">
        <v>0</v>
      </c>
      <c r="W37">
        <v>17</v>
      </c>
      <c r="X37">
        <v>17</v>
      </c>
      <c r="Y37">
        <v>16</v>
      </c>
      <c r="Z37">
        <v>87.630812750001496</v>
      </c>
      <c r="AH37">
        <v>87.607068000004801</v>
      </c>
      <c r="AI37">
        <v>87.630812750001496</v>
      </c>
      <c r="AJ37">
        <v>87.630812750001496</v>
      </c>
      <c r="AK37">
        <v>87.630812750001496</v>
      </c>
      <c r="AL37">
        <v>2.1560839959420199E-3</v>
      </c>
      <c r="AM37">
        <v>90.470854999999503</v>
      </c>
      <c r="AN37" t="s">
        <v>90</v>
      </c>
      <c r="AO37" t="s">
        <v>121</v>
      </c>
      <c r="AP37" t="s">
        <v>117</v>
      </c>
      <c r="AQ37" t="s">
        <v>97</v>
      </c>
      <c r="AR37" t="s">
        <v>98</v>
      </c>
      <c r="AS37" t="s">
        <v>98</v>
      </c>
      <c r="AT37" t="s">
        <v>144</v>
      </c>
      <c r="AU37" t="s">
        <v>100</v>
      </c>
      <c r="AV37" t="s">
        <v>56</v>
      </c>
      <c r="AW37">
        <v>1</v>
      </c>
      <c r="AX37" t="s">
        <v>57</v>
      </c>
      <c r="AY37" t="s">
        <v>58</v>
      </c>
      <c r="BA37" t="s">
        <v>59</v>
      </c>
      <c r="BB37" t="s">
        <v>60</v>
      </c>
      <c r="BC37" t="s">
        <v>61</v>
      </c>
    </row>
    <row r="38" spans="2:55" x14ac:dyDescent="0.2">
      <c r="B38">
        <v>18</v>
      </c>
      <c r="C38">
        <v>18</v>
      </c>
      <c r="D38">
        <v>0</v>
      </c>
      <c r="G38" t="s">
        <v>145</v>
      </c>
      <c r="H38" t="s">
        <v>55</v>
      </c>
      <c r="I38" s="4" t="s">
        <v>81</v>
      </c>
      <c r="J38" t="s">
        <v>55</v>
      </c>
      <c r="K38" t="s">
        <v>121</v>
      </c>
      <c r="L38" t="s">
        <v>117</v>
      </c>
      <c r="M38" t="s">
        <v>97</v>
      </c>
      <c r="N38" t="s">
        <v>98</v>
      </c>
      <c r="O38" t="s">
        <v>98</v>
      </c>
      <c r="P38" t="s">
        <v>146</v>
      </c>
      <c r="Q38" t="s">
        <v>100</v>
      </c>
      <c r="V38">
        <v>0</v>
      </c>
      <c r="W38">
        <v>18</v>
      </c>
      <c r="X38">
        <v>18</v>
      </c>
      <c r="Y38">
        <v>3</v>
      </c>
      <c r="Z38">
        <v>90.497328750003305</v>
      </c>
      <c r="AH38">
        <v>90.4733233750012</v>
      </c>
      <c r="AI38">
        <v>90.497328750003305</v>
      </c>
      <c r="AJ38">
        <v>90.497328750003305</v>
      </c>
      <c r="AK38">
        <v>90.497328750003305</v>
      </c>
      <c r="AL38">
        <v>2.36362499708775E-3</v>
      </c>
      <c r="AM38">
        <v>94.271448834006094</v>
      </c>
      <c r="AN38" t="s">
        <v>55</v>
      </c>
      <c r="AO38" t="s">
        <v>121</v>
      </c>
      <c r="AP38" t="s">
        <v>117</v>
      </c>
      <c r="AQ38" t="s">
        <v>97</v>
      </c>
      <c r="AR38" t="s">
        <v>98</v>
      </c>
      <c r="AS38" t="s">
        <v>98</v>
      </c>
      <c r="AT38" t="s">
        <v>146</v>
      </c>
      <c r="AU38" t="s">
        <v>100</v>
      </c>
      <c r="AV38" t="s">
        <v>56</v>
      </c>
      <c r="AW38">
        <v>1</v>
      </c>
      <c r="AX38" t="s">
        <v>57</v>
      </c>
      <c r="AY38" t="s">
        <v>58</v>
      </c>
      <c r="BA38" t="s">
        <v>59</v>
      </c>
      <c r="BB38" t="s">
        <v>60</v>
      </c>
      <c r="BC38" t="s">
        <v>61</v>
      </c>
    </row>
    <row r="39" spans="2:55" x14ac:dyDescent="0.2">
      <c r="B39">
        <v>19</v>
      </c>
      <c r="C39">
        <v>19</v>
      </c>
      <c r="D39">
        <v>0</v>
      </c>
      <c r="G39" t="s">
        <v>147</v>
      </c>
      <c r="H39" t="s">
        <v>148</v>
      </c>
      <c r="I39" s="4" t="s">
        <v>81</v>
      </c>
      <c r="J39" s="3"/>
      <c r="K39" t="s">
        <v>113</v>
      </c>
      <c r="L39" t="s">
        <v>113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V39">
        <v>0</v>
      </c>
      <c r="W39">
        <v>19</v>
      </c>
      <c r="X39">
        <v>19</v>
      </c>
      <c r="Y39">
        <v>9</v>
      </c>
      <c r="Z39">
        <v>96.297329500004693</v>
      </c>
      <c r="AH39">
        <v>96.2740584999992</v>
      </c>
      <c r="AI39">
        <v>96.297329500004693</v>
      </c>
      <c r="AJ39">
        <v>96.297329500004693</v>
      </c>
      <c r="AK39">
        <v>96.297329500004693</v>
      </c>
      <c r="AL39">
        <v>2.23416600056225E-3</v>
      </c>
      <c r="AM39">
        <v>106.279600959001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56</v>
      </c>
      <c r="AW39">
        <v>1</v>
      </c>
      <c r="AX39" t="s">
        <v>57</v>
      </c>
      <c r="AY39" t="s">
        <v>58</v>
      </c>
      <c r="BA39" t="s">
        <v>59</v>
      </c>
      <c r="BB39" t="s">
        <v>60</v>
      </c>
      <c r="BC39" t="s">
        <v>61</v>
      </c>
    </row>
    <row r="40" spans="2:55" x14ac:dyDescent="0.2">
      <c r="B40" s="9">
        <v>20</v>
      </c>
      <c r="C40" s="9">
        <v>20</v>
      </c>
      <c r="D40">
        <v>0</v>
      </c>
      <c r="G40" t="s">
        <v>149</v>
      </c>
      <c r="H40" t="s">
        <v>150</v>
      </c>
      <c r="I40" s="4" t="s">
        <v>115</v>
      </c>
      <c r="J40" t="s">
        <v>150</v>
      </c>
      <c r="K40" t="s">
        <v>121</v>
      </c>
      <c r="L40" t="s">
        <v>117</v>
      </c>
      <c r="M40" t="s">
        <v>97</v>
      </c>
      <c r="N40" t="s">
        <v>98</v>
      </c>
      <c r="O40" t="s">
        <v>98</v>
      </c>
      <c r="P40" t="s">
        <v>151</v>
      </c>
      <c r="Q40" t="s">
        <v>100</v>
      </c>
      <c r="V40">
        <v>0</v>
      </c>
      <c r="W40" s="9">
        <v>20</v>
      </c>
      <c r="X40" s="9">
        <v>20</v>
      </c>
      <c r="Y40">
        <v>15</v>
      </c>
      <c r="Z40">
        <v>106.28773220899799</v>
      </c>
      <c r="AH40">
        <v>106.281229250002</v>
      </c>
      <c r="AI40">
        <v>106.28773220899799</v>
      </c>
      <c r="AJ40">
        <v>106.28773220899799</v>
      </c>
      <c r="AK40">
        <v>106.28773220899799</v>
      </c>
      <c r="AL40">
        <v>9.4025829966994899E-3</v>
      </c>
      <c r="AM40">
        <v>108.354603416999</v>
      </c>
      <c r="AN40" t="s">
        <v>150</v>
      </c>
      <c r="AO40" t="s">
        <v>121</v>
      </c>
      <c r="AP40" t="s">
        <v>117</v>
      </c>
      <c r="AQ40" t="s">
        <v>97</v>
      </c>
      <c r="AR40" t="s">
        <v>98</v>
      </c>
      <c r="AS40" t="s">
        <v>98</v>
      </c>
      <c r="AT40" t="s">
        <v>151</v>
      </c>
      <c r="AU40" t="s">
        <v>100</v>
      </c>
      <c r="AV40" t="s">
        <v>56</v>
      </c>
      <c r="AW40">
        <v>1</v>
      </c>
      <c r="AX40" t="s">
        <v>57</v>
      </c>
      <c r="AY40" t="s">
        <v>58</v>
      </c>
      <c r="BA40" t="s">
        <v>59</v>
      </c>
      <c r="BB40" t="s">
        <v>60</v>
      </c>
      <c r="BC40" t="s">
        <v>61</v>
      </c>
    </row>
    <row r="41" spans="2:55" x14ac:dyDescent="0.2">
      <c r="B41" s="9">
        <v>21</v>
      </c>
      <c r="C41" s="9">
        <v>21</v>
      </c>
      <c r="D41">
        <v>0</v>
      </c>
      <c r="G41" t="s">
        <v>152</v>
      </c>
      <c r="H41" t="s">
        <v>116</v>
      </c>
      <c r="I41" t="s">
        <v>105</v>
      </c>
      <c r="J41" t="s">
        <v>116</v>
      </c>
      <c r="K41" t="s">
        <v>121</v>
      </c>
      <c r="L41" t="s">
        <v>117</v>
      </c>
      <c r="M41" t="s">
        <v>97</v>
      </c>
      <c r="N41" t="s">
        <v>98</v>
      </c>
      <c r="O41" t="s">
        <v>98</v>
      </c>
      <c r="P41" t="s">
        <v>153</v>
      </c>
      <c r="Q41" t="s">
        <v>100</v>
      </c>
      <c r="V41">
        <v>0</v>
      </c>
      <c r="W41" s="9">
        <v>21</v>
      </c>
      <c r="X41" s="9">
        <v>21</v>
      </c>
      <c r="Y41">
        <v>21</v>
      </c>
      <c r="Z41">
        <v>108.380732792</v>
      </c>
      <c r="AH41">
        <v>108.357048249999</v>
      </c>
      <c r="AI41">
        <v>108.380732792</v>
      </c>
      <c r="AJ41">
        <v>108.380732792</v>
      </c>
      <c r="AK41">
        <v>108.380732792</v>
      </c>
      <c r="AL41">
        <v>2.3085409993655001E-3</v>
      </c>
      <c r="AM41">
        <v>110.22305354200201</v>
      </c>
      <c r="AN41" t="s">
        <v>116</v>
      </c>
      <c r="AO41" t="s">
        <v>121</v>
      </c>
      <c r="AP41" t="s">
        <v>117</v>
      </c>
      <c r="AQ41" t="s">
        <v>97</v>
      </c>
      <c r="AR41" t="s">
        <v>98</v>
      </c>
      <c r="AS41" t="s">
        <v>98</v>
      </c>
      <c r="AT41" t="s">
        <v>153</v>
      </c>
      <c r="AU41" t="s">
        <v>100</v>
      </c>
      <c r="AV41" t="s">
        <v>56</v>
      </c>
      <c r="AW41">
        <v>1</v>
      </c>
      <c r="AX41" t="s">
        <v>57</v>
      </c>
      <c r="AY41" t="s">
        <v>58</v>
      </c>
      <c r="BA41" t="s">
        <v>59</v>
      </c>
      <c r="BB41" t="s">
        <v>60</v>
      </c>
      <c r="BC41" t="s">
        <v>61</v>
      </c>
    </row>
    <row r="42" spans="2:55" x14ac:dyDescent="0.2">
      <c r="B42" s="9">
        <v>22</v>
      </c>
      <c r="C42" s="9">
        <v>22</v>
      </c>
      <c r="D42">
        <v>0</v>
      </c>
      <c r="G42" t="s">
        <v>154</v>
      </c>
      <c r="H42" t="s">
        <v>155</v>
      </c>
      <c r="I42" s="4" t="s">
        <v>81</v>
      </c>
      <c r="J42" t="s">
        <v>155</v>
      </c>
      <c r="K42" t="s">
        <v>121</v>
      </c>
      <c r="L42" t="s">
        <v>117</v>
      </c>
      <c r="M42" t="s">
        <v>97</v>
      </c>
      <c r="N42" t="s">
        <v>98</v>
      </c>
      <c r="O42" t="s">
        <v>98</v>
      </c>
      <c r="P42" t="s">
        <v>156</v>
      </c>
      <c r="Q42" t="s">
        <v>100</v>
      </c>
      <c r="V42">
        <v>0</v>
      </c>
      <c r="W42" s="9">
        <v>22</v>
      </c>
      <c r="X42" s="9">
        <v>22</v>
      </c>
      <c r="Y42">
        <v>7</v>
      </c>
      <c r="Z42">
        <v>110.23606666699899</v>
      </c>
      <c r="AH42">
        <v>110.225763417001</v>
      </c>
      <c r="AI42">
        <v>110.23606666699899</v>
      </c>
      <c r="AJ42">
        <v>110.23606666699899</v>
      </c>
      <c r="AK42">
        <v>110.23606666699899</v>
      </c>
      <c r="AL42">
        <v>2.5767090046429002E-3</v>
      </c>
      <c r="AM42">
        <v>112.887163167004</v>
      </c>
      <c r="AN42" t="s">
        <v>155</v>
      </c>
      <c r="AO42" t="s">
        <v>121</v>
      </c>
      <c r="AP42" t="s">
        <v>117</v>
      </c>
      <c r="AQ42" t="s">
        <v>97</v>
      </c>
      <c r="AR42" t="s">
        <v>98</v>
      </c>
      <c r="AS42" t="s">
        <v>98</v>
      </c>
      <c r="AT42" t="s">
        <v>156</v>
      </c>
      <c r="AU42" t="s">
        <v>100</v>
      </c>
      <c r="AV42" t="s">
        <v>56</v>
      </c>
      <c r="AW42">
        <v>1</v>
      </c>
      <c r="AX42" t="s">
        <v>57</v>
      </c>
      <c r="AY42" t="s">
        <v>58</v>
      </c>
      <c r="BA42" t="s">
        <v>59</v>
      </c>
      <c r="BB42" t="s">
        <v>60</v>
      </c>
      <c r="BC42" t="s">
        <v>61</v>
      </c>
    </row>
    <row r="44" spans="2:55" x14ac:dyDescent="0.2">
      <c r="F44" s="4" t="s">
        <v>157</v>
      </c>
      <c r="G44" s="4"/>
      <c r="H44" s="4">
        <f>G48-2</f>
        <v>17</v>
      </c>
      <c r="I44" s="4">
        <f>H44/G48</f>
        <v>0.89473684210526316</v>
      </c>
    </row>
    <row r="45" spans="2:55" x14ac:dyDescent="0.2">
      <c r="F45" s="4" t="s">
        <v>158</v>
      </c>
      <c r="G45" s="4"/>
      <c r="H45" s="4">
        <f>G49-1</f>
        <v>3</v>
      </c>
      <c r="I45" s="8">
        <f>H45/G49</f>
        <v>0.75</v>
      </c>
    </row>
    <row r="47" spans="2:55" x14ac:dyDescent="0.2">
      <c r="H47" s="5" t="s">
        <v>159</v>
      </c>
      <c r="I47" s="6">
        <f>I44-I45</f>
        <v>0.14473684210526316</v>
      </c>
    </row>
    <row r="48" spans="2:55" x14ac:dyDescent="0.2">
      <c r="F48" s="7" t="s">
        <v>160</v>
      </c>
      <c r="G48" s="7">
        <f>19</f>
        <v>19</v>
      </c>
    </row>
    <row r="49" spans="6:7" x14ac:dyDescent="0.2">
      <c r="F49" s="7" t="s">
        <v>161</v>
      </c>
      <c r="G49" s="7">
        <v>4</v>
      </c>
    </row>
    <row r="50" spans="6:7" x14ac:dyDescent="0.2">
      <c r="F50" s="7"/>
      <c r="G50" s="7">
        <f>G48+G49</f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u_1_Word Priming Task_2025-10-1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2025-10-15T08:58:12Z</dcterms:created>
  <dcterms:modified xsi:type="dcterms:W3CDTF">2025-10-16T08:49:32Z</dcterms:modified>
</cp:coreProperties>
</file>