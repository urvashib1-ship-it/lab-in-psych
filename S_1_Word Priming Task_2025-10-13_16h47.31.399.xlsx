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WordPriming Experiment/Participants Analysis/"/>
    </mc:Choice>
  </mc:AlternateContent>
  <xr:revisionPtr revIDLastSave="0" documentId="13_ncr:1_{03FC5A54-A543-124F-8AD5-5E76811AE85E}" xr6:coauthVersionLast="47" xr6:coauthVersionMax="47" xr10:uidLastSave="{00000000-0000-0000-0000-000000000000}"/>
  <bookViews>
    <workbookView xWindow="360" yWindow="680" windowWidth="14580" windowHeight="17320" xr2:uid="{00000000-000D-0000-FFFF-FFFF00000000}"/>
  </bookViews>
  <sheets>
    <sheet name="S_1_Word Priming Task_2025-10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1" l="1"/>
  <c r="G45" i="1"/>
  <c r="H45" i="1" s="1"/>
  <c r="H46" i="1"/>
  <c r="H48" i="1" l="1"/>
</calcChain>
</file>

<file path=xl/sharedStrings.xml><?xml version="1.0" encoding="utf-8"?>
<sst xmlns="http://schemas.openxmlformats.org/spreadsheetml/2006/main" count="758" uniqueCount="156">
  <si>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</si>
  <si>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</si>
  <si>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</si>
  <si>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</si>
  <si>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</si>
  <si>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</si>
  <si>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</si>
  <si>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</si>
  <si>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</si>
  <si>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</si>
  <si>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</si>
  <si>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</si>
  <si>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</si>
  <si>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</si>
  <si>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</si>
  <si>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</si>
  <si>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</si>
  <si>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</si>
  <si>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</si>
  <si>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</si>
  <si>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</si>
  <si>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</si>
  <si>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</si>
  <si>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</si>
  <si>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</si>
  <si>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</si>
  <si>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</si>
  <si>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</si>
  <si>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</si>
  <si>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</si>
  <si>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</si>
  <si>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</si>
  <si>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</si>
  <si>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</si>
  <si>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textText.started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</si>
  <si>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</si>
  <si>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</si>
  <si>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</si>
  <si>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</si>
  <si>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</si>
  <si>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</si>
  <si>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</si>
  <si>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</si>
  <si>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</si>
  <si>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</si>
  <si>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</si>
  <si>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</si>
  <si>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</si>
  <si>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</si>
  <si>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</si>
  <si>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</si>
  <si>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</si>
  <si>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</si>
  <si>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</si>
  <si>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</si>
  <si>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Case</t>
  </si>
  <si>
    <t>S_1</t>
  </si>
  <si>
    <t>2025-10-13_16h47.42.525</t>
  </si>
  <si>
    <t>Word Priming Task</t>
  </si>
  <si>
    <t>2025.2.0</t>
  </si>
  <si>
    <t>None</t>
  </si>
  <si>
    <t>2025-10-13 16h47.42.638443 +0530</t>
  </si>
  <si>
    <t>mouse</t>
  </si>
  <si>
    <t>board</t>
  </si>
  <si>
    <t>book</t>
  </si>
  <si>
    <t>Police</t>
  </si>
  <si>
    <t>tiger</t>
  </si>
  <si>
    <t>Pastry</t>
  </si>
  <si>
    <t>T-shirt</t>
  </si>
  <si>
    <t>cushion</t>
  </si>
  <si>
    <t>Cruise</t>
  </si>
  <si>
    <t>Laptop</t>
  </si>
  <si>
    <t>marble</t>
  </si>
  <si>
    <t>piano</t>
  </si>
  <si>
    <t>vase</t>
  </si>
  <si>
    <t>Poster</t>
  </si>
  <si>
    <t>Chart</t>
  </si>
  <si>
    <t>Keys</t>
  </si>
  <si>
    <t>camera</t>
  </si>
  <si>
    <t>_a_bl_</t>
  </si>
  <si>
    <t>old</t>
  </si>
  <si>
    <t>[np.float64(0.0013020833333333333)]</t>
  </si>
  <si>
    <t>[np.float64(-0.3046875)]</t>
  </si>
  <si>
    <t>[1]</t>
  </si>
  <si>
    <t>[0]</t>
  </si>
  <si>
    <t>[0.4459496249910444]</t>
  </si>
  <si>
    <t>['text_3']</t>
  </si>
  <si>
    <t>p_st_r</t>
  </si>
  <si>
    <t>poster</t>
  </si>
  <si>
    <t>pastry</t>
  </si>
  <si>
    <t>[3.9983529160090256]</t>
  </si>
  <si>
    <t>_a_e</t>
  </si>
  <si>
    <t>[4.780703750002431]</t>
  </si>
  <si>
    <t>c_s_</t>
  </si>
  <si>
    <t>case</t>
  </si>
  <si>
    <t xml:space="preserve">old </t>
  </si>
  <si>
    <t>[3.4805853339785244]</t>
  </si>
  <si>
    <t>o_a_n_e</t>
  </si>
  <si>
    <t>orange</t>
  </si>
  <si>
    <t>[3.5131425419822335]</t>
  </si>
  <si>
    <t>_o_rd</t>
  </si>
  <si>
    <t>[6.947637707984541]</t>
  </si>
  <si>
    <t>p_nc_l</t>
  </si>
  <si>
    <t>pencil</t>
  </si>
  <si>
    <t>new</t>
  </si>
  <si>
    <t>[3.247426957997959]</t>
  </si>
  <si>
    <t>_oo_</t>
  </si>
  <si>
    <t>[2.6310862499813084]</t>
  </si>
  <si>
    <t>l_pt_p</t>
  </si>
  <si>
    <t>laptop</t>
  </si>
  <si>
    <t>[3.0640010829956736]</t>
  </si>
  <si>
    <t>_ia_n_</t>
  </si>
  <si>
    <t>[5.797041375015397]</t>
  </si>
  <si>
    <t>_ha_t</t>
  </si>
  <si>
    <t>chart</t>
  </si>
  <si>
    <t>[]</t>
  </si>
  <si>
    <t>P_st_y</t>
  </si>
  <si>
    <t>[3.555454000015743]</t>
  </si>
  <si>
    <t>_ho_e</t>
  </si>
  <si>
    <t>phone</t>
  </si>
  <si>
    <t>shoe</t>
  </si>
  <si>
    <t>[5.281450375012355]</t>
  </si>
  <si>
    <t>bo_t_e</t>
  </si>
  <si>
    <t>bottle</t>
  </si>
  <si>
    <t>[3.4965792080038227]</t>
  </si>
  <si>
    <t>p_li_e</t>
  </si>
  <si>
    <t>police</t>
  </si>
  <si>
    <t>[4.431148292002035]</t>
  </si>
  <si>
    <t>_o_s_</t>
  </si>
  <si>
    <t>[6.39553983299993]</t>
  </si>
  <si>
    <t>t_g_r</t>
  </si>
  <si>
    <t>[4.530597042001318]</t>
  </si>
  <si>
    <t>ta_l_</t>
  </si>
  <si>
    <t>table</t>
  </si>
  <si>
    <t>[4.164044500008458]</t>
  </si>
  <si>
    <t>c_m_r_</t>
  </si>
  <si>
    <t>[5.314752667007269]</t>
  </si>
  <si>
    <t>k_y_</t>
  </si>
  <si>
    <t>keys</t>
  </si>
  <si>
    <t>[np.float64(-0.016927083333333332)]</t>
  </si>
  <si>
    <t>[np.float64(-0.2994791666666667)]</t>
  </si>
  <si>
    <t>[4.096737332991324]</t>
  </si>
  <si>
    <t>_ru_is_</t>
  </si>
  <si>
    <t>cruise</t>
  </si>
  <si>
    <t>[4.4139423340093344]</t>
  </si>
  <si>
    <t>t_hi_t</t>
  </si>
  <si>
    <t>tshirt</t>
  </si>
  <si>
    <t>[3.2485927090165205]</t>
  </si>
  <si>
    <t>c_sh_o_n</t>
  </si>
  <si>
    <t>[4.5620985419955105]</t>
  </si>
  <si>
    <t>no. of hit from non primed words</t>
  </si>
  <si>
    <t>primed</t>
  </si>
  <si>
    <t xml:space="preserve">non primed </t>
  </si>
  <si>
    <t xml:space="preserve">no. of hit from primed list </t>
  </si>
  <si>
    <t>Priming Score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</si>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</sst>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14" fillId="33" borderId="0" xfId="0" applyFont="1" applyFill="1"/>
    <xf numFmtId="0" fontId="18" fillId="35" borderId="0" xfId="0" applyFont="1" applyFill="1"/>
    <xf numFmtId="0" fontId="0" fillId="35" borderId="0" xfId="0" applyFill="1"/>
    <xf numFmtId="0" fontId="0" fillId="0" borderId="10" xfId="0" applyBorder="1"/>
    <xf numFmtId="0" fontId="0" fillId="36" borderId="0" xfId="0" applyFill="1"/>
    <xf numFmtId="2" fontId="0" fillId="36" borderId="0" xfId="0" applyNumberFormat="1" applyFill="1"/>
    <xf numFmtId="0" fontId="17" fillId="37" borderId="0" xfId="0" applyFont="1" applyFill="1"/>
    <xf numFmtId="2" fontId="17" fillId="37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tabSelected="1" topLeftCell="A16" workbookViewId="0">
      <selection activeCell="G52" sqref="G52"/>
    </sheetView>
  </sheetViews>
  <sheetFormatPr baseColWidth="10" defaultRowHeight="16" x14ac:dyDescent="0.2"/>
  <cols>
    <col min="7" max="7" width="14" customWidth="1"/>
    <col min="10" max="10" width="10.83203125" style="1"/>
  </cols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">
      <c r="A2" t="s">
        <v>55</v>
      </c>
      <c r="B2">
        <v>0</v>
      </c>
      <c r="C2">
        <v>0</v>
      </c>
      <c r="D2">
        <v>0</v>
      </c>
      <c r="E2">
        <v>3.0052083333333299</v>
      </c>
      <c r="F2">
        <v>2.51905550001538</v>
      </c>
      <c r="R2">
        <v>0</v>
      </c>
      <c r="S2">
        <v>0</v>
      </c>
      <c r="T2">
        <v>0</v>
      </c>
      <c r="U2">
        <v>13</v>
      </c>
      <c r="Z2">
        <v>5.9092582989251199E-2</v>
      </c>
      <c r="AB2">
        <v>4.6120290993712801E-2</v>
      </c>
      <c r="AC2">
        <v>5.9092582989251199E-2</v>
      </c>
      <c r="AD2">
        <v>5.9092582989251199E-2</v>
      </c>
      <c r="AE2">
        <v>2.57485024997731</v>
      </c>
      <c r="AF2">
        <v>3.0052083333333299</v>
      </c>
      <c r="AG2">
        <v>2.51905550001538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 t="s">
        <v>60</v>
      </c>
      <c r="BC2" t="s">
        <v>61</v>
      </c>
    </row>
    <row r="3" spans="1:55" x14ac:dyDescent="0.2">
      <c r="A3" t="s">
        <v>62</v>
      </c>
      <c r="B3">
        <v>1</v>
      </c>
      <c r="C3">
        <v>1</v>
      </c>
      <c r="D3">
        <v>0</v>
      </c>
      <c r="E3">
        <v>3.0052083333333299</v>
      </c>
      <c r="F3">
        <v>0.83866720800870098</v>
      </c>
      <c r="R3">
        <v>0</v>
      </c>
      <c r="S3">
        <v>1</v>
      </c>
      <c r="T3">
        <v>1</v>
      </c>
      <c r="U3">
        <v>11</v>
      </c>
      <c r="Z3">
        <v>2.5840455830038902</v>
      </c>
      <c r="AB3">
        <v>2.5781693329918198</v>
      </c>
      <c r="AC3">
        <v>2.5840455830038902</v>
      </c>
      <c r="AD3">
        <v>2.5840455830038902</v>
      </c>
      <c r="AE3">
        <v>3.4250189579906798</v>
      </c>
      <c r="AF3">
        <v>3.0052083333333299</v>
      </c>
      <c r="AG3">
        <v>0.83866720800870098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 t="s">
        <v>60</v>
      </c>
      <c r="BC3" t="s">
        <v>61</v>
      </c>
    </row>
    <row r="4" spans="1:55" x14ac:dyDescent="0.2">
      <c r="A4" t="s">
        <v>63</v>
      </c>
      <c r="B4">
        <v>2</v>
      </c>
      <c r="C4">
        <v>2</v>
      </c>
      <c r="D4">
        <v>0</v>
      </c>
      <c r="E4">
        <v>3.0052083333333299</v>
      </c>
      <c r="F4">
        <v>0.58791745800408501</v>
      </c>
      <c r="R4">
        <v>0</v>
      </c>
      <c r="S4">
        <v>2</v>
      </c>
      <c r="T4">
        <v>2</v>
      </c>
      <c r="U4">
        <v>7</v>
      </c>
      <c r="Z4">
        <v>3.4335244579997299</v>
      </c>
      <c r="AB4">
        <v>3.4283956659783099</v>
      </c>
      <c r="AC4">
        <v>3.4335244579997299</v>
      </c>
      <c r="AD4">
        <v>3.4335244579997299</v>
      </c>
      <c r="AE4">
        <v>4.0249041249917301</v>
      </c>
      <c r="AF4">
        <v>3.0052083333333299</v>
      </c>
      <c r="AG4">
        <v>0.58791745800408501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 t="s">
        <v>60</v>
      </c>
      <c r="BC4" t="s">
        <v>61</v>
      </c>
    </row>
    <row r="5" spans="1:55" x14ac:dyDescent="0.2">
      <c r="A5" t="s">
        <v>64</v>
      </c>
      <c r="B5">
        <v>3</v>
      </c>
      <c r="C5">
        <v>3</v>
      </c>
      <c r="D5">
        <v>0</v>
      </c>
      <c r="E5">
        <v>3.0052083333333299</v>
      </c>
      <c r="F5">
        <v>0.30551325000124002</v>
      </c>
      <c r="R5">
        <v>0</v>
      </c>
      <c r="S5">
        <v>3</v>
      </c>
      <c r="T5">
        <v>3</v>
      </c>
      <c r="U5">
        <v>2</v>
      </c>
      <c r="Z5">
        <v>4.0324479579867303</v>
      </c>
      <c r="AB5">
        <v>4.0272078749840103</v>
      </c>
      <c r="AC5">
        <v>4.0324479579867303</v>
      </c>
      <c r="AD5">
        <v>4.0324479579867303</v>
      </c>
      <c r="AE5">
        <v>4.3417418329918203</v>
      </c>
      <c r="AF5">
        <v>3.0052083333333299</v>
      </c>
      <c r="AG5">
        <v>0.30551325000124002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 t="s">
        <v>60</v>
      </c>
      <c r="BC5" t="s">
        <v>61</v>
      </c>
    </row>
    <row r="6" spans="1:55" x14ac:dyDescent="0.2">
      <c r="A6" t="s">
        <v>65</v>
      </c>
      <c r="B6">
        <v>4</v>
      </c>
      <c r="C6">
        <v>4</v>
      </c>
      <c r="D6">
        <v>0</v>
      </c>
      <c r="E6">
        <v>3.0052083333333299</v>
      </c>
      <c r="F6">
        <v>0.60252583297551598</v>
      </c>
      <c r="R6">
        <v>0</v>
      </c>
      <c r="S6">
        <v>4</v>
      </c>
      <c r="T6">
        <v>4</v>
      </c>
      <c r="U6">
        <v>17</v>
      </c>
      <c r="Z6">
        <v>4.3517699999792896</v>
      </c>
      <c r="AB6">
        <v>4.3464928749890497</v>
      </c>
      <c r="AC6">
        <v>4.3517699999792896</v>
      </c>
      <c r="AD6">
        <v>4.3517699999792896</v>
      </c>
      <c r="AE6">
        <v>4.9583379579999001</v>
      </c>
      <c r="AF6">
        <v>3.0052083333333299</v>
      </c>
      <c r="AG6">
        <v>0.60252583297551598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 t="s">
        <v>60</v>
      </c>
      <c r="BC6" t="s">
        <v>61</v>
      </c>
    </row>
    <row r="7" spans="1:55" x14ac:dyDescent="0.2">
      <c r="A7" t="s">
        <v>66</v>
      </c>
      <c r="B7">
        <v>5</v>
      </c>
      <c r="C7">
        <v>5</v>
      </c>
      <c r="D7">
        <v>0</v>
      </c>
      <c r="E7">
        <v>3.0052083333333299</v>
      </c>
      <c r="F7">
        <v>0.487921416992321</v>
      </c>
      <c r="R7">
        <v>0</v>
      </c>
      <c r="S7">
        <v>5</v>
      </c>
      <c r="T7">
        <v>5</v>
      </c>
      <c r="U7">
        <v>1</v>
      </c>
      <c r="Z7">
        <v>4.9662813329778102</v>
      </c>
      <c r="AB7">
        <v>4.9612506249977697</v>
      </c>
      <c r="AC7">
        <v>4.9662813329778102</v>
      </c>
      <c r="AD7">
        <v>4.9662813329778102</v>
      </c>
      <c r="AE7">
        <v>5.45826945800217</v>
      </c>
      <c r="AF7">
        <v>3.0052083333333299</v>
      </c>
      <c r="AG7">
        <v>0.487921416992321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 t="s">
        <v>60</v>
      </c>
      <c r="BC7" t="s">
        <v>61</v>
      </c>
    </row>
    <row r="8" spans="1:55" x14ac:dyDescent="0.2">
      <c r="A8" t="s">
        <v>67</v>
      </c>
      <c r="B8">
        <v>6</v>
      </c>
      <c r="C8">
        <v>6</v>
      </c>
      <c r="D8">
        <v>0</v>
      </c>
      <c r="E8">
        <v>3.0052083333333299</v>
      </c>
      <c r="F8">
        <v>2.2879181249882001</v>
      </c>
      <c r="R8">
        <v>0</v>
      </c>
      <c r="S8">
        <v>6</v>
      </c>
      <c r="T8">
        <v>6</v>
      </c>
      <c r="U8">
        <v>12</v>
      </c>
      <c r="Z8">
        <v>5.4662491659982999</v>
      </c>
      <c r="AB8">
        <v>5.4609435829916002</v>
      </c>
      <c r="AC8">
        <v>5.4662491659982999</v>
      </c>
      <c r="AD8">
        <v>5.4662491659982999</v>
      </c>
      <c r="AE8">
        <v>7.7581102080002804</v>
      </c>
      <c r="AF8">
        <v>3.0052083333333299</v>
      </c>
      <c r="AG8">
        <v>2.2879181249882001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 t="s">
        <v>60</v>
      </c>
      <c r="BC8" t="s">
        <v>61</v>
      </c>
    </row>
    <row r="9" spans="1:55" x14ac:dyDescent="0.2">
      <c r="A9" t="s">
        <v>68</v>
      </c>
      <c r="B9">
        <v>7</v>
      </c>
      <c r="C9">
        <v>7</v>
      </c>
      <c r="D9">
        <v>0</v>
      </c>
      <c r="E9">
        <v>3.0052083333333299</v>
      </c>
      <c r="F9">
        <v>0.13639216698356901</v>
      </c>
      <c r="R9">
        <v>0</v>
      </c>
      <c r="S9">
        <v>7</v>
      </c>
      <c r="T9">
        <v>7</v>
      </c>
      <c r="U9">
        <v>10</v>
      </c>
      <c r="Z9">
        <v>7.7664813330047702</v>
      </c>
      <c r="AB9">
        <v>7.7616070410003797</v>
      </c>
      <c r="AC9">
        <v>7.7664813330047702</v>
      </c>
      <c r="AD9">
        <v>7.7664813330047702</v>
      </c>
      <c r="AE9">
        <v>7.9082102910033401</v>
      </c>
      <c r="AF9">
        <v>3.0052083333333299</v>
      </c>
      <c r="AG9">
        <v>0.13639216698356901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 t="s">
        <v>60</v>
      </c>
      <c r="BC9" t="s">
        <v>61</v>
      </c>
    </row>
    <row r="10" spans="1:55" x14ac:dyDescent="0.2">
      <c r="A10" t="s">
        <v>69</v>
      </c>
      <c r="B10">
        <v>8</v>
      </c>
      <c r="C10">
        <v>8</v>
      </c>
      <c r="D10">
        <v>0</v>
      </c>
      <c r="E10">
        <v>3.0052083333333299</v>
      </c>
      <c r="F10">
        <v>0.83866737500648003</v>
      </c>
      <c r="R10">
        <v>0</v>
      </c>
      <c r="S10">
        <v>8</v>
      </c>
      <c r="T10">
        <v>8</v>
      </c>
      <c r="U10">
        <v>3</v>
      </c>
      <c r="Z10">
        <v>7.91577812499599</v>
      </c>
      <c r="AB10">
        <v>7.9105843330034897</v>
      </c>
      <c r="AC10">
        <v>7.91577812499599</v>
      </c>
      <c r="AD10">
        <v>7.91577812499599</v>
      </c>
      <c r="AE10">
        <v>8.7584711659874301</v>
      </c>
      <c r="AF10">
        <v>3.0052083333333299</v>
      </c>
      <c r="AG10">
        <v>0.83866737500648003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 t="s">
        <v>60</v>
      </c>
      <c r="BC10" t="s">
        <v>61</v>
      </c>
    </row>
    <row r="11" spans="1:55" x14ac:dyDescent="0.2">
      <c r="A11" t="s">
        <v>70</v>
      </c>
      <c r="B11">
        <v>9</v>
      </c>
      <c r="C11">
        <v>9</v>
      </c>
      <c r="D11">
        <v>0</v>
      </c>
      <c r="E11">
        <v>3.0052083333333299</v>
      </c>
      <c r="F11">
        <v>0.47270708298310599</v>
      </c>
      <c r="R11">
        <v>0</v>
      </c>
      <c r="S11">
        <v>9</v>
      </c>
      <c r="T11">
        <v>9</v>
      </c>
      <c r="U11">
        <v>14</v>
      </c>
      <c r="Z11">
        <v>8.7654859159956597</v>
      </c>
      <c r="AB11">
        <v>8.7602912499860395</v>
      </c>
      <c r="AC11">
        <v>8.7654859159956597</v>
      </c>
      <c r="AD11">
        <v>8.7654859159956597</v>
      </c>
      <c r="AE11">
        <v>9.24147958299727</v>
      </c>
      <c r="AF11">
        <v>3.0052083333333299</v>
      </c>
      <c r="AG11">
        <v>0.47270708298310599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 t="s">
        <v>60</v>
      </c>
      <c r="BC11" t="s">
        <v>61</v>
      </c>
    </row>
    <row r="12" spans="1:55" x14ac:dyDescent="0.2">
      <c r="A12" t="s">
        <v>71</v>
      </c>
      <c r="B12">
        <v>10</v>
      </c>
      <c r="C12">
        <v>10</v>
      </c>
      <c r="D12">
        <v>0</v>
      </c>
      <c r="E12">
        <v>3.0052083333333299</v>
      </c>
      <c r="F12">
        <v>1.4218494590022599</v>
      </c>
      <c r="R12">
        <v>0</v>
      </c>
      <c r="S12">
        <v>10</v>
      </c>
      <c r="T12">
        <v>10</v>
      </c>
      <c r="U12">
        <v>8</v>
      </c>
      <c r="Z12">
        <v>9.2495553749904502</v>
      </c>
      <c r="AB12">
        <v>9.2445394159876706</v>
      </c>
      <c r="AC12">
        <v>9.2495553749904502</v>
      </c>
      <c r="AD12">
        <v>9.2495553749904502</v>
      </c>
      <c r="AE12">
        <v>10.6749997909937</v>
      </c>
      <c r="AF12">
        <v>3.0052083333333299</v>
      </c>
      <c r="AG12">
        <v>1.4218494590022599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 t="s">
        <v>60</v>
      </c>
      <c r="BC12" t="s">
        <v>61</v>
      </c>
    </row>
    <row r="13" spans="1:55" x14ac:dyDescent="0.2">
      <c r="A13" t="s">
        <v>72</v>
      </c>
      <c r="B13">
        <v>11</v>
      </c>
      <c r="C13">
        <v>11</v>
      </c>
      <c r="D13">
        <v>0</v>
      </c>
      <c r="E13">
        <v>3.0052083333333299</v>
      </c>
      <c r="F13">
        <v>0.72121541699743796</v>
      </c>
      <c r="R13">
        <v>0</v>
      </c>
      <c r="S13">
        <v>11</v>
      </c>
      <c r="T13">
        <v>11</v>
      </c>
      <c r="U13">
        <v>6</v>
      </c>
      <c r="Z13">
        <v>10.682992207992299</v>
      </c>
      <c r="AB13">
        <v>10.6772136660001</v>
      </c>
      <c r="AC13">
        <v>10.682992207992299</v>
      </c>
      <c r="AD13">
        <v>10.682992207992299</v>
      </c>
      <c r="AE13">
        <v>11.4081900829914</v>
      </c>
      <c r="AF13">
        <v>3.0052083333333299</v>
      </c>
      <c r="AG13">
        <v>0.72121541699743796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 t="s">
        <v>60</v>
      </c>
      <c r="BC13" t="s">
        <v>61</v>
      </c>
    </row>
    <row r="14" spans="1:55" x14ac:dyDescent="0.2">
      <c r="A14" t="s">
        <v>73</v>
      </c>
      <c r="B14">
        <v>12</v>
      </c>
      <c r="C14">
        <v>12</v>
      </c>
      <c r="D14">
        <v>0</v>
      </c>
      <c r="E14">
        <v>3.0052083333333299</v>
      </c>
      <c r="F14">
        <v>0.25559924999833999</v>
      </c>
      <c r="R14">
        <v>0</v>
      </c>
      <c r="S14">
        <v>12</v>
      </c>
      <c r="T14">
        <v>12</v>
      </c>
      <c r="U14">
        <v>4</v>
      </c>
      <c r="Z14">
        <v>11.4159956660005</v>
      </c>
      <c r="AB14">
        <v>11.4099987499939</v>
      </c>
      <c r="AC14">
        <v>11.4159956660005</v>
      </c>
      <c r="AD14">
        <v>11.4159956660005</v>
      </c>
      <c r="AE14">
        <v>11.6748597499972</v>
      </c>
      <c r="AF14">
        <v>3.0052083333333299</v>
      </c>
      <c r="AG14">
        <v>0.25559924999833999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 t="s">
        <v>60</v>
      </c>
      <c r="BC14" t="s">
        <v>61</v>
      </c>
    </row>
    <row r="15" spans="1:55" x14ac:dyDescent="0.2">
      <c r="A15" t="s">
        <v>74</v>
      </c>
      <c r="B15">
        <v>13</v>
      </c>
      <c r="C15">
        <v>13</v>
      </c>
      <c r="D15">
        <v>0</v>
      </c>
      <c r="E15">
        <v>3.0052083333333299</v>
      </c>
      <c r="F15">
        <v>0.205412207986228</v>
      </c>
      <c r="R15">
        <v>0</v>
      </c>
      <c r="S15">
        <v>13</v>
      </c>
      <c r="T15">
        <v>13</v>
      </c>
      <c r="U15">
        <v>0</v>
      </c>
      <c r="Z15">
        <v>11.682291915989399</v>
      </c>
      <c r="AB15">
        <v>11.6772758330043</v>
      </c>
      <c r="AC15">
        <v>11.682291915989399</v>
      </c>
      <c r="AD15">
        <v>11.682291915989399</v>
      </c>
      <c r="AE15">
        <v>11.8918060409778</v>
      </c>
      <c r="AF15">
        <v>3.0052083333333299</v>
      </c>
      <c r="AG15">
        <v>0.205412207986228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 t="s">
        <v>60</v>
      </c>
      <c r="BC15" t="s">
        <v>61</v>
      </c>
    </row>
    <row r="16" spans="1:55" x14ac:dyDescent="0.2">
      <c r="A16" t="s">
        <v>75</v>
      </c>
      <c r="B16">
        <v>14</v>
      </c>
      <c r="C16">
        <v>14</v>
      </c>
      <c r="D16">
        <v>0</v>
      </c>
      <c r="E16">
        <v>3.0052083333333299</v>
      </c>
      <c r="F16">
        <v>0.75611270798253805</v>
      </c>
      <c r="R16">
        <v>0</v>
      </c>
      <c r="S16">
        <v>14</v>
      </c>
      <c r="T16">
        <v>14</v>
      </c>
      <c r="U16">
        <v>16</v>
      </c>
      <c r="Z16">
        <v>11.899452124984199</v>
      </c>
      <c r="AB16">
        <v>11.8936124579922</v>
      </c>
      <c r="AC16">
        <v>11.899452124984199</v>
      </c>
      <c r="AD16">
        <v>11.899452124984199</v>
      </c>
      <c r="AE16">
        <v>12.658109457988701</v>
      </c>
      <c r="AF16">
        <v>3.0052083333333299</v>
      </c>
      <c r="AG16">
        <v>0.75611270798253805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 t="s">
        <v>60</v>
      </c>
      <c r="BC16" t="s">
        <v>61</v>
      </c>
    </row>
    <row r="17" spans="1:55" x14ac:dyDescent="0.2">
      <c r="A17" t="s">
        <v>76</v>
      </c>
      <c r="B17">
        <v>15</v>
      </c>
      <c r="C17">
        <v>15</v>
      </c>
      <c r="D17">
        <v>0</v>
      </c>
      <c r="E17">
        <v>3.0052083333333299</v>
      </c>
      <c r="F17">
        <v>1.65662975001032</v>
      </c>
      <c r="R17">
        <v>0</v>
      </c>
      <c r="S17">
        <v>15</v>
      </c>
      <c r="T17">
        <v>15</v>
      </c>
      <c r="U17">
        <v>9</v>
      </c>
      <c r="Z17">
        <v>12.666145415976599</v>
      </c>
      <c r="AB17">
        <v>12.6598580409772</v>
      </c>
      <c r="AC17">
        <v>12.666145415976599</v>
      </c>
      <c r="AD17">
        <v>12.666145415976599</v>
      </c>
      <c r="AE17">
        <v>14.324787707999301</v>
      </c>
      <c r="AF17">
        <v>3.0052083333333299</v>
      </c>
      <c r="AG17">
        <v>1.65662975001032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 t="s">
        <v>60</v>
      </c>
      <c r="BC17" t="s">
        <v>61</v>
      </c>
    </row>
    <row r="18" spans="1:55" x14ac:dyDescent="0.2">
      <c r="A18" t="s">
        <v>77</v>
      </c>
      <c r="B18">
        <v>16</v>
      </c>
      <c r="C18">
        <v>16</v>
      </c>
      <c r="D18">
        <v>0</v>
      </c>
      <c r="E18">
        <v>3.0052083333333299</v>
      </c>
      <c r="F18">
        <v>0.52232399999047596</v>
      </c>
      <c r="R18">
        <v>0</v>
      </c>
      <c r="S18">
        <v>16</v>
      </c>
      <c r="T18">
        <v>16</v>
      </c>
      <c r="U18">
        <v>15</v>
      </c>
      <c r="Z18">
        <v>14.332544665987299</v>
      </c>
      <c r="AB18">
        <v>14.3273685000021</v>
      </c>
      <c r="AC18">
        <v>14.332544665987299</v>
      </c>
      <c r="AD18">
        <v>14.332544665987299</v>
      </c>
      <c r="AE18">
        <v>14.858506541000599</v>
      </c>
      <c r="AF18">
        <v>3.0052083333333299</v>
      </c>
      <c r="AG18">
        <v>0.52232399999047596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 t="s">
        <v>60</v>
      </c>
      <c r="BC18" t="s">
        <v>61</v>
      </c>
    </row>
    <row r="19" spans="1:55" x14ac:dyDescent="0.2">
      <c r="A19" t="s">
        <v>78</v>
      </c>
      <c r="B19">
        <v>17</v>
      </c>
      <c r="C19">
        <v>17</v>
      </c>
      <c r="D19">
        <v>0</v>
      </c>
      <c r="E19">
        <v>3.0052083333333299</v>
      </c>
      <c r="F19">
        <v>0.60606141702737604</v>
      </c>
      <c r="R19">
        <v>0</v>
      </c>
      <c r="S19">
        <v>17</v>
      </c>
      <c r="T19">
        <v>17</v>
      </c>
      <c r="U19">
        <v>5</v>
      </c>
      <c r="Z19">
        <v>14.8656142499821</v>
      </c>
      <c r="AB19">
        <v>14.860356582998</v>
      </c>
      <c r="AC19">
        <v>14.8656142499821</v>
      </c>
      <c r="AD19">
        <v>14.8656142499821</v>
      </c>
      <c r="AE19">
        <v>15.474966915993701</v>
      </c>
      <c r="AF19">
        <v>3.0052083333333299</v>
      </c>
      <c r="AG19">
        <v>0.60606141702737604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 t="s">
        <v>60</v>
      </c>
      <c r="BC19" t="s">
        <v>61</v>
      </c>
    </row>
    <row r="20" spans="1:55" x14ac:dyDescent="0.2">
      <c r="B20">
        <v>0</v>
      </c>
      <c r="C20">
        <v>0</v>
      </c>
      <c r="D20">
        <v>0</v>
      </c>
      <c r="G20" t="s">
        <v>79</v>
      </c>
      <c r="H20" t="s">
        <v>72</v>
      </c>
      <c r="I20" s="2" t="s">
        <v>80</v>
      </c>
      <c r="J20" s="5"/>
      <c r="K20" t="s">
        <v>81</v>
      </c>
      <c r="L20" t="s">
        <v>82</v>
      </c>
      <c r="M20" t="s">
        <v>83</v>
      </c>
      <c r="N20" t="s">
        <v>84</v>
      </c>
      <c r="O20" t="s">
        <v>84</v>
      </c>
      <c r="P20" t="s">
        <v>85</v>
      </c>
      <c r="Q20" t="s">
        <v>86</v>
      </c>
      <c r="V20">
        <v>0</v>
      </c>
      <c r="W20">
        <v>0</v>
      </c>
      <c r="X20">
        <v>0</v>
      </c>
      <c r="Y20">
        <v>18</v>
      </c>
      <c r="Z20">
        <v>15.494569832982901</v>
      </c>
      <c r="AH20">
        <v>15.486967915989201</v>
      </c>
      <c r="AI20">
        <v>15.494569832982901</v>
      </c>
      <c r="AJ20">
        <v>15.494569832982901</v>
      </c>
      <c r="AK20">
        <v>15.494569832982901</v>
      </c>
      <c r="AL20">
        <v>1.1997958004940299E-2</v>
      </c>
      <c r="AM20">
        <v>15.933054833003499</v>
      </c>
      <c r="AO20" t="s">
        <v>81</v>
      </c>
      <c r="AP20" t="s">
        <v>82</v>
      </c>
      <c r="AQ20" t="s">
        <v>83</v>
      </c>
      <c r="AR20" t="s">
        <v>84</v>
      </c>
      <c r="AS20" t="s">
        <v>84</v>
      </c>
      <c r="AT20" t="s">
        <v>85</v>
      </c>
      <c r="AU20" t="s">
        <v>86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 t="s">
        <v>60</v>
      </c>
      <c r="BC20" t="s">
        <v>61</v>
      </c>
    </row>
    <row r="21" spans="1:55" x14ac:dyDescent="0.2">
      <c r="B21">
        <v>1</v>
      </c>
      <c r="C21">
        <v>1</v>
      </c>
      <c r="D21">
        <v>0</v>
      </c>
      <c r="G21" t="s">
        <v>87</v>
      </c>
      <c r="H21" t="s">
        <v>88</v>
      </c>
      <c r="I21" s="2" t="s">
        <v>80</v>
      </c>
      <c r="J21" s="3" t="s">
        <v>89</v>
      </c>
      <c r="K21" t="s">
        <v>81</v>
      </c>
      <c r="L21" t="s">
        <v>82</v>
      </c>
      <c r="M21" t="s">
        <v>83</v>
      </c>
      <c r="N21" t="s">
        <v>84</v>
      </c>
      <c r="O21" t="s">
        <v>84</v>
      </c>
      <c r="P21" t="s">
        <v>90</v>
      </c>
      <c r="Q21" t="s">
        <v>86</v>
      </c>
      <c r="V21">
        <v>0</v>
      </c>
      <c r="W21">
        <v>1</v>
      </c>
      <c r="X21">
        <v>1</v>
      </c>
      <c r="Y21">
        <v>16</v>
      </c>
      <c r="Z21">
        <v>15.9412005409831</v>
      </c>
      <c r="AH21">
        <v>15.9351131249859</v>
      </c>
      <c r="AI21">
        <v>15.9412005409831</v>
      </c>
      <c r="AJ21">
        <v>15.9412005409831</v>
      </c>
      <c r="AK21">
        <v>15.9412005409831</v>
      </c>
      <c r="AL21">
        <v>1.92091701319441E-3</v>
      </c>
      <c r="AM21">
        <v>19.933631332998601</v>
      </c>
      <c r="AN21" t="s">
        <v>89</v>
      </c>
      <c r="AO21" t="s">
        <v>81</v>
      </c>
      <c r="AP21" t="s">
        <v>82</v>
      </c>
      <c r="AQ21" t="s">
        <v>83</v>
      </c>
      <c r="AR21" t="s">
        <v>84</v>
      </c>
      <c r="AS21" t="s">
        <v>84</v>
      </c>
      <c r="AT21" t="s">
        <v>90</v>
      </c>
      <c r="AU21" t="s">
        <v>86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 t="s">
        <v>60</v>
      </c>
      <c r="BC21" t="s">
        <v>61</v>
      </c>
    </row>
    <row r="22" spans="1:55" x14ac:dyDescent="0.2">
      <c r="B22">
        <v>2</v>
      </c>
      <c r="C22">
        <v>2</v>
      </c>
      <c r="D22">
        <v>0</v>
      </c>
      <c r="G22" t="s">
        <v>91</v>
      </c>
      <c r="H22" t="s">
        <v>74</v>
      </c>
      <c r="I22" s="2" t="s">
        <v>80</v>
      </c>
      <c r="J22" s="1" t="s">
        <v>74</v>
      </c>
      <c r="K22" t="s">
        <v>81</v>
      </c>
      <c r="L22" t="s">
        <v>82</v>
      </c>
      <c r="M22" t="s">
        <v>83</v>
      </c>
      <c r="N22" t="s">
        <v>84</v>
      </c>
      <c r="O22" t="s">
        <v>84</v>
      </c>
      <c r="P22" t="s">
        <v>92</v>
      </c>
      <c r="Q22" t="s">
        <v>86</v>
      </c>
      <c r="V22">
        <v>0</v>
      </c>
      <c r="W22">
        <v>2</v>
      </c>
      <c r="X22">
        <v>2</v>
      </c>
      <c r="Y22">
        <v>0</v>
      </c>
      <c r="Z22">
        <v>19.9591197909903</v>
      </c>
      <c r="AH22">
        <v>19.936208790982999</v>
      </c>
      <c r="AI22">
        <v>19.9591197909903</v>
      </c>
      <c r="AJ22">
        <v>19.9591197909903</v>
      </c>
      <c r="AK22">
        <v>19.9591197909903</v>
      </c>
      <c r="AL22">
        <v>2.4443339789286199E-3</v>
      </c>
      <c r="AM22">
        <v>24.717109165998401</v>
      </c>
      <c r="AN22" t="s">
        <v>74</v>
      </c>
      <c r="AO22" t="s">
        <v>81</v>
      </c>
      <c r="AP22" t="s">
        <v>82</v>
      </c>
      <c r="AQ22" t="s">
        <v>83</v>
      </c>
      <c r="AR22" t="s">
        <v>84</v>
      </c>
      <c r="AS22" t="s">
        <v>84</v>
      </c>
      <c r="AT22" t="s">
        <v>92</v>
      </c>
      <c r="AU22" t="s">
        <v>86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 t="s">
        <v>60</v>
      </c>
      <c r="BC22" t="s">
        <v>61</v>
      </c>
    </row>
    <row r="23" spans="1:55" x14ac:dyDescent="0.2">
      <c r="B23">
        <v>3</v>
      </c>
      <c r="C23">
        <v>3</v>
      </c>
      <c r="D23">
        <v>0</v>
      </c>
      <c r="G23" t="s">
        <v>93</v>
      </c>
      <c r="H23" t="s">
        <v>94</v>
      </c>
      <c r="I23" s="2" t="s">
        <v>95</v>
      </c>
      <c r="J23" s="1" t="s">
        <v>94</v>
      </c>
      <c r="K23" t="s">
        <v>81</v>
      </c>
      <c r="L23" t="s">
        <v>82</v>
      </c>
      <c r="M23" t="s">
        <v>83</v>
      </c>
      <c r="N23" t="s">
        <v>84</v>
      </c>
      <c r="O23" t="s">
        <v>84</v>
      </c>
      <c r="P23" t="s">
        <v>96</v>
      </c>
      <c r="Q23" t="s">
        <v>86</v>
      </c>
      <c r="V23">
        <v>0</v>
      </c>
      <c r="W23">
        <v>3</v>
      </c>
      <c r="X23">
        <v>3</v>
      </c>
      <c r="Y23">
        <v>12</v>
      </c>
      <c r="Z23">
        <v>24.742379790986799</v>
      </c>
      <c r="AH23">
        <v>24.7191075829905</v>
      </c>
      <c r="AI23">
        <v>24.742379790986799</v>
      </c>
      <c r="AJ23">
        <v>24.742379790986799</v>
      </c>
      <c r="AK23">
        <v>24.742379790986799</v>
      </c>
      <c r="AL23">
        <v>1.8948339857161E-3</v>
      </c>
      <c r="AM23">
        <v>28.199882415996399</v>
      </c>
      <c r="AN23" t="s">
        <v>94</v>
      </c>
      <c r="AO23" t="s">
        <v>81</v>
      </c>
      <c r="AP23" t="s">
        <v>82</v>
      </c>
      <c r="AQ23" t="s">
        <v>83</v>
      </c>
      <c r="AR23" t="s">
        <v>84</v>
      </c>
      <c r="AS23" t="s">
        <v>84</v>
      </c>
      <c r="AT23" t="s">
        <v>96</v>
      </c>
      <c r="AU23" t="s">
        <v>86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 t="s">
        <v>60</v>
      </c>
      <c r="BC23" t="s">
        <v>61</v>
      </c>
    </row>
    <row r="24" spans="1:55" x14ac:dyDescent="0.2">
      <c r="B24">
        <v>4</v>
      </c>
      <c r="C24">
        <v>4</v>
      </c>
      <c r="D24">
        <v>0</v>
      </c>
      <c r="G24" t="s">
        <v>97</v>
      </c>
      <c r="H24" t="s">
        <v>98</v>
      </c>
      <c r="I24" s="2" t="s">
        <v>95</v>
      </c>
      <c r="J24" s="1" t="s">
        <v>98</v>
      </c>
      <c r="K24" t="s">
        <v>81</v>
      </c>
      <c r="L24" t="s">
        <v>82</v>
      </c>
      <c r="M24" t="s">
        <v>83</v>
      </c>
      <c r="N24" t="s">
        <v>84</v>
      </c>
      <c r="O24" t="s">
        <v>84</v>
      </c>
      <c r="P24" t="s">
        <v>99</v>
      </c>
      <c r="Q24" t="s">
        <v>86</v>
      </c>
      <c r="V24">
        <v>0</v>
      </c>
      <c r="W24">
        <v>4</v>
      </c>
      <c r="X24">
        <v>4</v>
      </c>
      <c r="Y24">
        <v>7</v>
      </c>
      <c r="Z24">
        <v>28.225689332990399</v>
      </c>
      <c r="AH24">
        <v>28.202590290980801</v>
      </c>
      <c r="AI24">
        <v>28.225689332990399</v>
      </c>
      <c r="AJ24">
        <v>28.225689332990399</v>
      </c>
      <c r="AK24">
        <v>28.225689332990399</v>
      </c>
      <c r="AL24">
        <v>2.56337501923553E-3</v>
      </c>
      <c r="AM24">
        <v>31.715926457982199</v>
      </c>
      <c r="AN24" t="s">
        <v>98</v>
      </c>
      <c r="AO24" t="s">
        <v>81</v>
      </c>
      <c r="AP24" t="s">
        <v>82</v>
      </c>
      <c r="AQ24" t="s">
        <v>83</v>
      </c>
      <c r="AR24" t="s">
        <v>84</v>
      </c>
      <c r="AS24" t="s">
        <v>84</v>
      </c>
      <c r="AT24" t="s">
        <v>99</v>
      </c>
      <c r="AU24" t="s">
        <v>86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 t="s">
        <v>60</v>
      </c>
      <c r="BC24" t="s">
        <v>61</v>
      </c>
    </row>
    <row r="25" spans="1:55" x14ac:dyDescent="0.2">
      <c r="B25">
        <v>5</v>
      </c>
      <c r="C25">
        <v>5</v>
      </c>
      <c r="D25">
        <v>0</v>
      </c>
      <c r="G25" t="s">
        <v>100</v>
      </c>
      <c r="H25" t="s">
        <v>63</v>
      </c>
      <c r="I25" s="2" t="s">
        <v>80</v>
      </c>
      <c r="J25" s="1" t="s">
        <v>63</v>
      </c>
      <c r="K25" t="s">
        <v>81</v>
      </c>
      <c r="L25" t="s">
        <v>82</v>
      </c>
      <c r="M25" t="s">
        <v>83</v>
      </c>
      <c r="N25" t="s">
        <v>84</v>
      </c>
      <c r="O25" t="s">
        <v>84</v>
      </c>
      <c r="P25" t="s">
        <v>101</v>
      </c>
      <c r="Q25" t="s">
        <v>86</v>
      </c>
      <c r="V25">
        <v>0</v>
      </c>
      <c r="W25">
        <v>5</v>
      </c>
      <c r="X25">
        <v>5</v>
      </c>
      <c r="Y25">
        <v>17</v>
      </c>
      <c r="Z25">
        <v>31.725912915979201</v>
      </c>
      <c r="AH25">
        <v>31.7180772080027</v>
      </c>
      <c r="AI25">
        <v>31.725912915979201</v>
      </c>
      <c r="AJ25">
        <v>31.725912915979201</v>
      </c>
      <c r="AK25">
        <v>31.725912915979201</v>
      </c>
      <c r="AL25">
        <v>2.0487919973675101E-3</v>
      </c>
      <c r="AM25">
        <v>38.665925957990098</v>
      </c>
      <c r="AN25" t="s">
        <v>63</v>
      </c>
      <c r="AO25" t="s">
        <v>81</v>
      </c>
      <c r="AP25" t="s">
        <v>82</v>
      </c>
      <c r="AQ25" t="s">
        <v>83</v>
      </c>
      <c r="AR25" t="s">
        <v>84</v>
      </c>
      <c r="AS25" t="s">
        <v>84</v>
      </c>
      <c r="AT25" t="s">
        <v>101</v>
      </c>
      <c r="AU25" t="s">
        <v>86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 t="s">
        <v>60</v>
      </c>
      <c r="BC25" t="s">
        <v>61</v>
      </c>
    </row>
    <row r="26" spans="1:55" x14ac:dyDescent="0.2">
      <c r="B26">
        <v>6</v>
      </c>
      <c r="C26">
        <v>6</v>
      </c>
      <c r="D26">
        <v>0</v>
      </c>
      <c r="G26" t="s">
        <v>102</v>
      </c>
      <c r="H26" t="s">
        <v>103</v>
      </c>
      <c r="I26" t="s">
        <v>104</v>
      </c>
      <c r="J26" s="1" t="s">
        <v>103</v>
      </c>
      <c r="K26" t="s">
        <v>81</v>
      </c>
      <c r="L26" t="s">
        <v>82</v>
      </c>
      <c r="M26" t="s">
        <v>83</v>
      </c>
      <c r="N26" t="s">
        <v>84</v>
      </c>
      <c r="O26" t="s">
        <v>84</v>
      </c>
      <c r="P26" t="s">
        <v>105</v>
      </c>
      <c r="Q26" t="s">
        <v>86</v>
      </c>
      <c r="V26">
        <v>0</v>
      </c>
      <c r="W26">
        <v>6</v>
      </c>
      <c r="X26">
        <v>6</v>
      </c>
      <c r="Y26">
        <v>22</v>
      </c>
      <c r="Z26">
        <v>38.6924159579793</v>
      </c>
      <c r="AH26">
        <v>38.668397832982002</v>
      </c>
      <c r="AI26">
        <v>38.6924159579793</v>
      </c>
      <c r="AJ26">
        <v>38.6924159579793</v>
      </c>
      <c r="AK26">
        <v>38.6924159579793</v>
      </c>
      <c r="AL26">
        <v>2.3298749874811598E-3</v>
      </c>
      <c r="AM26">
        <v>41.916025290993197</v>
      </c>
      <c r="AN26" t="s">
        <v>103</v>
      </c>
      <c r="AO26" t="s">
        <v>81</v>
      </c>
      <c r="AP26" t="s">
        <v>82</v>
      </c>
      <c r="AQ26" t="s">
        <v>83</v>
      </c>
      <c r="AR26" t="s">
        <v>84</v>
      </c>
      <c r="AS26" t="s">
        <v>84</v>
      </c>
      <c r="AT26" t="s">
        <v>105</v>
      </c>
      <c r="AU26" t="s">
        <v>86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 t="s">
        <v>60</v>
      </c>
      <c r="BC26" t="s">
        <v>61</v>
      </c>
    </row>
    <row r="27" spans="1:55" x14ac:dyDescent="0.2">
      <c r="B27">
        <v>7</v>
      </c>
      <c r="C27">
        <v>7</v>
      </c>
      <c r="D27">
        <v>0</v>
      </c>
      <c r="G27" t="s">
        <v>106</v>
      </c>
      <c r="H27" t="s">
        <v>64</v>
      </c>
      <c r="I27" s="2" t="s">
        <v>95</v>
      </c>
      <c r="J27" s="1" t="s">
        <v>64</v>
      </c>
      <c r="K27" t="s">
        <v>81</v>
      </c>
      <c r="L27" t="s">
        <v>82</v>
      </c>
      <c r="M27" t="s">
        <v>83</v>
      </c>
      <c r="N27" t="s">
        <v>84</v>
      </c>
      <c r="O27" t="s">
        <v>84</v>
      </c>
      <c r="P27" t="s">
        <v>107</v>
      </c>
      <c r="Q27" t="s">
        <v>86</v>
      </c>
      <c r="V27">
        <v>0</v>
      </c>
      <c r="W27">
        <v>7</v>
      </c>
      <c r="X27">
        <v>7</v>
      </c>
      <c r="Y27">
        <v>2</v>
      </c>
      <c r="Z27">
        <v>41.925706540991001</v>
      </c>
      <c r="AH27">
        <v>41.9183053330052</v>
      </c>
      <c r="AI27">
        <v>41.925706540991001</v>
      </c>
      <c r="AJ27">
        <v>41.925706540991001</v>
      </c>
      <c r="AK27">
        <v>41.925706540991001</v>
      </c>
      <c r="AL27">
        <v>2.1453340013977101E-3</v>
      </c>
      <c r="AM27">
        <v>44.549594332987901</v>
      </c>
      <c r="AN27" t="s">
        <v>64</v>
      </c>
      <c r="AO27" t="s">
        <v>81</v>
      </c>
      <c r="AP27" t="s">
        <v>82</v>
      </c>
      <c r="AQ27" t="s">
        <v>83</v>
      </c>
      <c r="AR27" t="s">
        <v>84</v>
      </c>
      <c r="AS27" t="s">
        <v>84</v>
      </c>
      <c r="AT27" t="s">
        <v>107</v>
      </c>
      <c r="AU27" t="s">
        <v>86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 t="s">
        <v>60</v>
      </c>
      <c r="BC27" t="s">
        <v>61</v>
      </c>
    </row>
    <row r="28" spans="1:55" x14ac:dyDescent="0.2">
      <c r="B28">
        <v>8</v>
      </c>
      <c r="C28">
        <v>8</v>
      </c>
      <c r="D28">
        <v>0</v>
      </c>
      <c r="G28" t="s">
        <v>108</v>
      </c>
      <c r="H28" t="s">
        <v>109</v>
      </c>
      <c r="I28" s="2" t="s">
        <v>95</v>
      </c>
      <c r="J28" s="1" t="s">
        <v>109</v>
      </c>
      <c r="K28" t="s">
        <v>81</v>
      </c>
      <c r="L28" t="s">
        <v>82</v>
      </c>
      <c r="M28" t="s">
        <v>83</v>
      </c>
      <c r="N28" t="s">
        <v>84</v>
      </c>
      <c r="O28" t="s">
        <v>84</v>
      </c>
      <c r="P28" t="s">
        <v>110</v>
      </c>
      <c r="Q28" t="s">
        <v>86</v>
      </c>
      <c r="V28">
        <v>0</v>
      </c>
      <c r="W28">
        <v>8</v>
      </c>
      <c r="X28">
        <v>8</v>
      </c>
      <c r="Y28">
        <v>8</v>
      </c>
      <c r="Z28">
        <v>44.575752082979299</v>
      </c>
      <c r="AH28">
        <v>44.552172665979</v>
      </c>
      <c r="AI28">
        <v>44.575752082979299</v>
      </c>
      <c r="AJ28">
        <v>44.575752082979299</v>
      </c>
      <c r="AK28">
        <v>44.575752082979299</v>
      </c>
      <c r="AL28">
        <v>2.46016701566986E-3</v>
      </c>
      <c r="AM28">
        <v>47.616396625002302</v>
      </c>
      <c r="AN28" t="s">
        <v>109</v>
      </c>
      <c r="AO28" t="s">
        <v>81</v>
      </c>
      <c r="AP28" t="s">
        <v>82</v>
      </c>
      <c r="AQ28" t="s">
        <v>83</v>
      </c>
      <c r="AR28" t="s">
        <v>84</v>
      </c>
      <c r="AS28" t="s">
        <v>84</v>
      </c>
      <c r="AT28" t="s">
        <v>110</v>
      </c>
      <c r="AU28" t="s">
        <v>86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 t="s">
        <v>60</v>
      </c>
      <c r="BC28" t="s">
        <v>61</v>
      </c>
    </row>
    <row r="29" spans="1:55" x14ac:dyDescent="0.2">
      <c r="B29">
        <v>9</v>
      </c>
      <c r="C29">
        <v>9</v>
      </c>
      <c r="D29">
        <v>0</v>
      </c>
      <c r="G29" t="s">
        <v>111</v>
      </c>
      <c r="H29" t="s">
        <v>73</v>
      </c>
      <c r="I29" s="2" t="s">
        <v>95</v>
      </c>
      <c r="J29" s="1" t="s">
        <v>73</v>
      </c>
      <c r="K29" t="s">
        <v>81</v>
      </c>
      <c r="L29" t="s">
        <v>82</v>
      </c>
      <c r="M29" t="s">
        <v>83</v>
      </c>
      <c r="N29" t="s">
        <v>84</v>
      </c>
      <c r="O29" t="s">
        <v>84</v>
      </c>
      <c r="P29" t="s">
        <v>112</v>
      </c>
      <c r="Q29" t="s">
        <v>86</v>
      </c>
      <c r="V29">
        <v>0</v>
      </c>
      <c r="W29">
        <v>9</v>
      </c>
      <c r="X29">
        <v>9</v>
      </c>
      <c r="Y29">
        <v>4</v>
      </c>
      <c r="Z29">
        <v>47.642022415995598</v>
      </c>
      <c r="AH29">
        <v>47.619201708002898</v>
      </c>
      <c r="AI29">
        <v>47.642022415995598</v>
      </c>
      <c r="AJ29">
        <v>47.642022415995598</v>
      </c>
      <c r="AK29">
        <v>47.642022415995598</v>
      </c>
      <c r="AL29">
        <v>2.6846250111702799E-3</v>
      </c>
      <c r="AM29">
        <v>53.4164729579933</v>
      </c>
      <c r="AN29" t="s">
        <v>73</v>
      </c>
      <c r="AO29" t="s">
        <v>81</v>
      </c>
      <c r="AP29" t="s">
        <v>82</v>
      </c>
      <c r="AQ29" t="s">
        <v>83</v>
      </c>
      <c r="AR29" t="s">
        <v>84</v>
      </c>
      <c r="AS29" t="s">
        <v>84</v>
      </c>
      <c r="AT29" t="s">
        <v>112</v>
      </c>
      <c r="AU29" t="s">
        <v>86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 t="s">
        <v>60</v>
      </c>
      <c r="BC29" t="s">
        <v>61</v>
      </c>
    </row>
    <row r="30" spans="1:55" x14ac:dyDescent="0.2">
      <c r="B30">
        <v>10</v>
      </c>
      <c r="C30">
        <v>10</v>
      </c>
      <c r="D30">
        <v>0</v>
      </c>
      <c r="G30" t="s">
        <v>113</v>
      </c>
      <c r="H30" t="s">
        <v>114</v>
      </c>
      <c r="I30" s="2" t="s">
        <v>95</v>
      </c>
      <c r="J30" s="4"/>
      <c r="K30" t="s">
        <v>115</v>
      </c>
      <c r="L30" t="s">
        <v>115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V30">
        <v>0</v>
      </c>
      <c r="W30">
        <v>10</v>
      </c>
      <c r="X30">
        <v>10</v>
      </c>
      <c r="Y30">
        <v>9</v>
      </c>
      <c r="Z30">
        <v>53.442462832986998</v>
      </c>
      <c r="AH30">
        <v>53.4190117499965</v>
      </c>
      <c r="AI30">
        <v>53.442462832986998</v>
      </c>
      <c r="AJ30">
        <v>53.442462832986998</v>
      </c>
      <c r="AK30">
        <v>53.442462832986998</v>
      </c>
      <c r="AL30">
        <v>2.4100829905364602E-3</v>
      </c>
      <c r="AM30">
        <v>63.424653249996403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 t="s">
        <v>60</v>
      </c>
      <c r="BC30" t="s">
        <v>61</v>
      </c>
    </row>
    <row r="31" spans="1:55" x14ac:dyDescent="0.2">
      <c r="B31">
        <v>11</v>
      </c>
      <c r="C31">
        <v>11</v>
      </c>
      <c r="D31">
        <v>0</v>
      </c>
      <c r="G31" t="s">
        <v>116</v>
      </c>
      <c r="H31" t="s">
        <v>89</v>
      </c>
      <c r="I31" s="2" t="s">
        <v>95</v>
      </c>
      <c r="J31" s="1" t="s">
        <v>89</v>
      </c>
      <c r="K31" t="s">
        <v>81</v>
      </c>
      <c r="L31" t="s">
        <v>82</v>
      </c>
      <c r="M31" t="s">
        <v>83</v>
      </c>
      <c r="N31" t="s">
        <v>84</v>
      </c>
      <c r="O31" t="s">
        <v>84</v>
      </c>
      <c r="P31" t="s">
        <v>117</v>
      </c>
      <c r="Q31" t="s">
        <v>86</v>
      </c>
      <c r="V31">
        <v>0</v>
      </c>
      <c r="W31">
        <v>11</v>
      </c>
      <c r="X31">
        <v>11</v>
      </c>
      <c r="Y31">
        <v>11</v>
      </c>
      <c r="Z31">
        <v>63.431895290996103</v>
      </c>
      <c r="AH31">
        <v>63.426384291000403</v>
      </c>
      <c r="AI31">
        <v>63.431895290996103</v>
      </c>
      <c r="AJ31">
        <v>63.431895290996103</v>
      </c>
      <c r="AK31">
        <v>63.431895290996103</v>
      </c>
      <c r="AL31">
        <v>9.7795409965328803E-3</v>
      </c>
      <c r="AM31">
        <v>66.982029790989998</v>
      </c>
      <c r="AN31" t="s">
        <v>89</v>
      </c>
      <c r="AO31" t="s">
        <v>81</v>
      </c>
      <c r="AP31" t="s">
        <v>82</v>
      </c>
      <c r="AQ31" t="s">
        <v>83</v>
      </c>
      <c r="AR31" t="s">
        <v>84</v>
      </c>
      <c r="AS31" t="s">
        <v>84</v>
      </c>
      <c r="AT31" t="s">
        <v>117</v>
      </c>
      <c r="AU31" t="s">
        <v>86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 t="s">
        <v>60</v>
      </c>
      <c r="BC31" t="s">
        <v>61</v>
      </c>
    </row>
    <row r="32" spans="1:55" x14ac:dyDescent="0.2">
      <c r="B32">
        <v>12</v>
      </c>
      <c r="C32">
        <v>12</v>
      </c>
      <c r="D32">
        <v>0</v>
      </c>
      <c r="G32" t="s">
        <v>118</v>
      </c>
      <c r="H32" t="s">
        <v>119</v>
      </c>
      <c r="I32" t="s">
        <v>104</v>
      </c>
      <c r="J32" s="3" t="s">
        <v>120</v>
      </c>
      <c r="K32" t="s">
        <v>81</v>
      </c>
      <c r="L32" t="s">
        <v>82</v>
      </c>
      <c r="M32" t="s">
        <v>83</v>
      </c>
      <c r="N32" t="s">
        <v>84</v>
      </c>
      <c r="O32" t="s">
        <v>84</v>
      </c>
      <c r="P32" t="s">
        <v>121</v>
      </c>
      <c r="Q32" t="s">
        <v>86</v>
      </c>
      <c r="V32">
        <v>0</v>
      </c>
      <c r="W32">
        <v>12</v>
      </c>
      <c r="X32">
        <v>12</v>
      </c>
      <c r="Y32">
        <v>19</v>
      </c>
      <c r="Z32">
        <v>66.992374624998703</v>
      </c>
      <c r="AH32">
        <v>66.984740415995404</v>
      </c>
      <c r="AI32">
        <v>66.992374624998703</v>
      </c>
      <c r="AJ32">
        <v>66.992374624998703</v>
      </c>
      <c r="AK32">
        <v>66.992374624998703</v>
      </c>
      <c r="AL32">
        <v>2.5748749903868801E-3</v>
      </c>
      <c r="AM32">
        <v>72.266427875001597</v>
      </c>
      <c r="AN32" t="s">
        <v>120</v>
      </c>
      <c r="AO32" t="s">
        <v>81</v>
      </c>
      <c r="AP32" t="s">
        <v>82</v>
      </c>
      <c r="AQ32" t="s">
        <v>83</v>
      </c>
      <c r="AR32" t="s">
        <v>84</v>
      </c>
      <c r="AS32" t="s">
        <v>84</v>
      </c>
      <c r="AT32" t="s">
        <v>121</v>
      </c>
      <c r="AU32" t="s">
        <v>86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 t="s">
        <v>60</v>
      </c>
      <c r="BC32" t="s">
        <v>61</v>
      </c>
    </row>
    <row r="33" spans="2:55" x14ac:dyDescent="0.2">
      <c r="B33">
        <v>13</v>
      </c>
      <c r="C33">
        <v>13</v>
      </c>
      <c r="D33">
        <v>0</v>
      </c>
      <c r="G33" t="s">
        <v>122</v>
      </c>
      <c r="H33" t="s">
        <v>123</v>
      </c>
      <c r="I33" t="s">
        <v>104</v>
      </c>
      <c r="J33" s="1" t="s">
        <v>123</v>
      </c>
      <c r="K33" t="s">
        <v>81</v>
      </c>
      <c r="L33" t="s">
        <v>82</v>
      </c>
      <c r="M33" t="s">
        <v>83</v>
      </c>
      <c r="N33" t="s">
        <v>84</v>
      </c>
      <c r="O33" t="s">
        <v>84</v>
      </c>
      <c r="P33" t="s">
        <v>124</v>
      </c>
      <c r="Q33" t="s">
        <v>86</v>
      </c>
      <c r="V33">
        <v>0</v>
      </c>
      <c r="W33">
        <v>13</v>
      </c>
      <c r="X33">
        <v>13</v>
      </c>
      <c r="Y33">
        <v>23</v>
      </c>
      <c r="Z33">
        <v>72.292325457994593</v>
      </c>
      <c r="AH33">
        <v>72.269006124988607</v>
      </c>
      <c r="AI33">
        <v>72.292325457994593</v>
      </c>
      <c r="AJ33">
        <v>72.292325457994593</v>
      </c>
      <c r="AK33">
        <v>72.292325457994593</v>
      </c>
      <c r="AL33">
        <v>2.4425830051768502E-3</v>
      </c>
      <c r="AM33">
        <v>75.765792374993893</v>
      </c>
      <c r="AN33" t="s">
        <v>123</v>
      </c>
      <c r="AO33" t="s">
        <v>81</v>
      </c>
      <c r="AP33" t="s">
        <v>82</v>
      </c>
      <c r="AQ33" t="s">
        <v>83</v>
      </c>
      <c r="AR33" t="s">
        <v>84</v>
      </c>
      <c r="AS33" t="s">
        <v>84</v>
      </c>
      <c r="AT33" t="s">
        <v>124</v>
      </c>
      <c r="AU33" t="s">
        <v>86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 t="s">
        <v>60</v>
      </c>
      <c r="BC33" t="s">
        <v>61</v>
      </c>
    </row>
    <row r="34" spans="2:55" x14ac:dyDescent="0.2">
      <c r="B34">
        <v>14</v>
      </c>
      <c r="C34">
        <v>14</v>
      </c>
      <c r="D34">
        <v>0</v>
      </c>
      <c r="G34" t="s">
        <v>125</v>
      </c>
      <c r="H34" t="s">
        <v>126</v>
      </c>
      <c r="I34" s="2" t="s">
        <v>95</v>
      </c>
      <c r="J34" s="1" t="s">
        <v>126</v>
      </c>
      <c r="K34" t="s">
        <v>81</v>
      </c>
      <c r="L34" t="s">
        <v>82</v>
      </c>
      <c r="M34" t="s">
        <v>83</v>
      </c>
      <c r="N34" t="s">
        <v>84</v>
      </c>
      <c r="O34" t="s">
        <v>84</v>
      </c>
      <c r="P34" t="s">
        <v>127</v>
      </c>
      <c r="Q34" t="s">
        <v>86</v>
      </c>
      <c r="V34">
        <v>0</v>
      </c>
      <c r="W34">
        <v>14</v>
      </c>
      <c r="X34">
        <v>14</v>
      </c>
      <c r="Y34">
        <v>14</v>
      </c>
      <c r="Z34">
        <v>75.775568707991596</v>
      </c>
      <c r="AH34">
        <v>75.768111457990003</v>
      </c>
      <c r="AI34">
        <v>75.775568707991596</v>
      </c>
      <c r="AJ34">
        <v>75.775568707991596</v>
      </c>
      <c r="AK34">
        <v>75.775568707991596</v>
      </c>
      <c r="AL34">
        <v>2.2062500065658198E-3</v>
      </c>
      <c r="AM34">
        <v>80.199469207989694</v>
      </c>
      <c r="AN34" t="s">
        <v>126</v>
      </c>
      <c r="AO34" t="s">
        <v>81</v>
      </c>
      <c r="AP34" t="s">
        <v>82</v>
      </c>
      <c r="AQ34" t="s">
        <v>83</v>
      </c>
      <c r="AR34" t="s">
        <v>84</v>
      </c>
      <c r="AS34" t="s">
        <v>84</v>
      </c>
      <c r="AT34" t="s">
        <v>127</v>
      </c>
      <c r="AU34" t="s">
        <v>86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 t="s">
        <v>60</v>
      </c>
      <c r="BC34" t="s">
        <v>61</v>
      </c>
    </row>
    <row r="35" spans="2:55" x14ac:dyDescent="0.2">
      <c r="B35">
        <v>15</v>
      </c>
      <c r="C35">
        <v>15</v>
      </c>
      <c r="D35">
        <v>0</v>
      </c>
      <c r="G35" t="s">
        <v>128</v>
      </c>
      <c r="H35" t="s">
        <v>62</v>
      </c>
      <c r="I35" s="2" t="s">
        <v>95</v>
      </c>
      <c r="J35" s="1" t="s">
        <v>62</v>
      </c>
      <c r="K35" t="s">
        <v>81</v>
      </c>
      <c r="L35" t="s">
        <v>82</v>
      </c>
      <c r="M35" t="s">
        <v>83</v>
      </c>
      <c r="N35" t="s">
        <v>84</v>
      </c>
      <c r="O35" t="s">
        <v>84</v>
      </c>
      <c r="P35" t="s">
        <v>129</v>
      </c>
      <c r="Q35" t="s">
        <v>86</v>
      </c>
      <c r="V35">
        <v>0</v>
      </c>
      <c r="W35">
        <v>16</v>
      </c>
      <c r="X35">
        <v>16</v>
      </c>
      <c r="Y35">
        <v>6</v>
      </c>
      <c r="Z35">
        <v>82.562670040992003</v>
      </c>
      <c r="AH35">
        <v>82.553478582994998</v>
      </c>
      <c r="AI35">
        <v>82.562670040992003</v>
      </c>
      <c r="AJ35">
        <v>82.562670040992003</v>
      </c>
      <c r="AK35">
        <v>82.562670040992003</v>
      </c>
      <c r="AL35">
        <v>2.0653750107157902E-3</v>
      </c>
      <c r="AM35">
        <v>88.949248916003796</v>
      </c>
      <c r="AN35" t="s">
        <v>62</v>
      </c>
      <c r="AO35" t="s">
        <v>81</v>
      </c>
      <c r="AP35" t="s">
        <v>82</v>
      </c>
      <c r="AQ35" t="s">
        <v>83</v>
      </c>
      <c r="AR35" t="s">
        <v>84</v>
      </c>
      <c r="AS35" t="s">
        <v>84</v>
      </c>
      <c r="AT35" t="s">
        <v>129</v>
      </c>
      <c r="AU35" t="s">
        <v>86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 t="s">
        <v>60</v>
      </c>
      <c r="BC35" t="s">
        <v>61</v>
      </c>
    </row>
    <row r="36" spans="2:55" x14ac:dyDescent="0.2">
      <c r="B36">
        <v>16</v>
      </c>
      <c r="C36">
        <v>16</v>
      </c>
      <c r="D36">
        <v>0</v>
      </c>
      <c r="G36" t="s">
        <v>130</v>
      </c>
      <c r="H36" t="s">
        <v>66</v>
      </c>
      <c r="I36" s="2" t="s">
        <v>95</v>
      </c>
      <c r="J36" s="1" t="s">
        <v>66</v>
      </c>
      <c r="K36" t="s">
        <v>81</v>
      </c>
      <c r="L36" t="s">
        <v>82</v>
      </c>
      <c r="M36" t="s">
        <v>83</v>
      </c>
      <c r="N36" t="s">
        <v>84</v>
      </c>
      <c r="O36" t="s">
        <v>84</v>
      </c>
      <c r="P36" t="s">
        <v>131</v>
      </c>
      <c r="Q36" t="s">
        <v>86</v>
      </c>
      <c r="V36">
        <v>0</v>
      </c>
      <c r="W36">
        <v>17</v>
      </c>
      <c r="X36">
        <v>17</v>
      </c>
      <c r="Y36">
        <v>1</v>
      </c>
      <c r="Z36">
        <v>88.975734624982493</v>
      </c>
      <c r="AH36">
        <v>88.951914957986403</v>
      </c>
      <c r="AI36">
        <v>88.975734624982493</v>
      </c>
      <c r="AJ36">
        <v>88.975734624982493</v>
      </c>
      <c r="AK36">
        <v>88.975734624982493</v>
      </c>
      <c r="AL36">
        <v>2.5368749920744401E-3</v>
      </c>
      <c r="AM36">
        <v>93.482743749977004</v>
      </c>
      <c r="AN36" t="s">
        <v>66</v>
      </c>
      <c r="AO36" t="s">
        <v>81</v>
      </c>
      <c r="AP36" t="s">
        <v>82</v>
      </c>
      <c r="AQ36" t="s">
        <v>83</v>
      </c>
      <c r="AR36" t="s">
        <v>84</v>
      </c>
      <c r="AS36" t="s">
        <v>84</v>
      </c>
      <c r="AT36" t="s">
        <v>131</v>
      </c>
      <c r="AU36" t="s">
        <v>86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 t="s">
        <v>60</v>
      </c>
      <c r="BC36" t="s">
        <v>61</v>
      </c>
    </row>
    <row r="37" spans="2:55" x14ac:dyDescent="0.2">
      <c r="B37">
        <v>17</v>
      </c>
      <c r="C37">
        <v>17</v>
      </c>
      <c r="D37">
        <v>0</v>
      </c>
      <c r="G37" t="s">
        <v>132</v>
      </c>
      <c r="H37" t="s">
        <v>133</v>
      </c>
      <c r="I37" t="s">
        <v>104</v>
      </c>
      <c r="J37" s="1" t="s">
        <v>133</v>
      </c>
      <c r="K37" t="s">
        <v>81</v>
      </c>
      <c r="L37" t="s">
        <v>82</v>
      </c>
      <c r="M37" t="s">
        <v>83</v>
      </c>
      <c r="N37" t="s">
        <v>84</v>
      </c>
      <c r="O37" t="s">
        <v>84</v>
      </c>
      <c r="P37" t="s">
        <v>134</v>
      </c>
      <c r="Q37" t="s">
        <v>86</v>
      </c>
      <c r="V37">
        <v>0</v>
      </c>
      <c r="W37">
        <v>18</v>
      </c>
      <c r="X37">
        <v>18</v>
      </c>
      <c r="Y37">
        <v>21</v>
      </c>
      <c r="Z37">
        <v>93.508975582983098</v>
      </c>
      <c r="AH37">
        <v>93.4850504579953</v>
      </c>
      <c r="AI37">
        <v>93.508975582983098</v>
      </c>
      <c r="AJ37">
        <v>93.508975582983098</v>
      </c>
      <c r="AK37">
        <v>93.508975582983098</v>
      </c>
      <c r="AL37">
        <v>2.2052499989513299E-3</v>
      </c>
      <c r="AM37">
        <v>97.649312583002001</v>
      </c>
      <c r="AN37" t="s">
        <v>133</v>
      </c>
      <c r="AO37" t="s">
        <v>81</v>
      </c>
      <c r="AP37" t="s">
        <v>82</v>
      </c>
      <c r="AQ37" t="s">
        <v>83</v>
      </c>
      <c r="AR37" t="s">
        <v>84</v>
      </c>
      <c r="AS37" t="s">
        <v>84</v>
      </c>
      <c r="AT37" t="s">
        <v>134</v>
      </c>
      <c r="AU37" t="s">
        <v>86</v>
      </c>
      <c r="AV37" t="s">
        <v>56</v>
      </c>
      <c r="AW37">
        <v>1</v>
      </c>
      <c r="AX37" t="s">
        <v>57</v>
      </c>
      <c r="AY37" t="s">
        <v>58</v>
      </c>
      <c r="BA37" t="s">
        <v>59</v>
      </c>
      <c r="BB37" t="s">
        <v>60</v>
      </c>
      <c r="BC37" t="s">
        <v>61</v>
      </c>
    </row>
    <row r="38" spans="2:55" x14ac:dyDescent="0.2">
      <c r="B38">
        <v>18</v>
      </c>
      <c r="C38">
        <v>18</v>
      </c>
      <c r="D38">
        <v>0</v>
      </c>
      <c r="G38" t="s">
        <v>135</v>
      </c>
      <c r="H38" t="s">
        <v>78</v>
      </c>
      <c r="I38" s="2" t="s">
        <v>95</v>
      </c>
      <c r="J38" s="1" t="s">
        <v>78</v>
      </c>
      <c r="K38" t="s">
        <v>81</v>
      </c>
      <c r="L38" t="s">
        <v>82</v>
      </c>
      <c r="M38" t="s">
        <v>83</v>
      </c>
      <c r="N38" t="s">
        <v>84</v>
      </c>
      <c r="O38" t="s">
        <v>84</v>
      </c>
      <c r="P38" t="s">
        <v>136</v>
      </c>
      <c r="Q38" t="s">
        <v>86</v>
      </c>
      <c r="V38">
        <v>0</v>
      </c>
      <c r="W38">
        <v>19</v>
      </c>
      <c r="X38">
        <v>19</v>
      </c>
      <c r="Y38">
        <v>5</v>
      </c>
      <c r="Z38">
        <v>97.675571790983597</v>
      </c>
      <c r="AH38">
        <v>97.651593415997894</v>
      </c>
      <c r="AI38">
        <v>97.675571790983597</v>
      </c>
      <c r="AJ38">
        <v>97.675571790983597</v>
      </c>
      <c r="AK38">
        <v>97.675571790983597</v>
      </c>
      <c r="AL38">
        <v>2.1797080116812101E-3</v>
      </c>
      <c r="AM38">
        <v>102.96659024999801</v>
      </c>
      <c r="AN38" t="s">
        <v>78</v>
      </c>
      <c r="AO38" t="s">
        <v>81</v>
      </c>
      <c r="AP38" t="s">
        <v>82</v>
      </c>
      <c r="AQ38" t="s">
        <v>83</v>
      </c>
      <c r="AR38" t="s">
        <v>84</v>
      </c>
      <c r="AS38" t="s">
        <v>84</v>
      </c>
      <c r="AT38" t="s">
        <v>136</v>
      </c>
      <c r="AU38" t="s">
        <v>86</v>
      </c>
      <c r="AV38" t="s">
        <v>56</v>
      </c>
      <c r="AW38">
        <v>1</v>
      </c>
      <c r="AX38" t="s">
        <v>57</v>
      </c>
      <c r="AY38" t="s">
        <v>58</v>
      </c>
      <c r="BA38" t="s">
        <v>59</v>
      </c>
      <c r="BB38" t="s">
        <v>60</v>
      </c>
      <c r="BC38" t="s">
        <v>61</v>
      </c>
    </row>
    <row r="39" spans="2:55" x14ac:dyDescent="0.2">
      <c r="B39">
        <v>19</v>
      </c>
      <c r="C39">
        <v>19</v>
      </c>
      <c r="D39">
        <v>0</v>
      </c>
      <c r="G39" t="s">
        <v>137</v>
      </c>
      <c r="H39" t="s">
        <v>138</v>
      </c>
      <c r="I39" s="2" t="s">
        <v>80</v>
      </c>
      <c r="J39" s="1" t="s">
        <v>138</v>
      </c>
      <c r="K39" t="s">
        <v>139</v>
      </c>
      <c r="L39" t="s">
        <v>140</v>
      </c>
      <c r="M39" t="s">
        <v>83</v>
      </c>
      <c r="N39" t="s">
        <v>84</v>
      </c>
      <c r="O39" t="s">
        <v>84</v>
      </c>
      <c r="P39" t="s">
        <v>141</v>
      </c>
      <c r="Q39" t="s">
        <v>86</v>
      </c>
      <c r="V39">
        <v>0</v>
      </c>
      <c r="W39">
        <v>20</v>
      </c>
      <c r="X39">
        <v>20</v>
      </c>
      <c r="Y39">
        <v>15</v>
      </c>
      <c r="Z39">
        <v>102.992225166002</v>
      </c>
      <c r="AH39">
        <v>102.969090124999</v>
      </c>
      <c r="AI39">
        <v>102.992225166002</v>
      </c>
      <c r="AJ39">
        <v>102.992225166002</v>
      </c>
      <c r="AK39">
        <v>102.992225166002</v>
      </c>
      <c r="AL39">
        <v>2.3730000248178801E-3</v>
      </c>
      <c r="AM39">
        <v>107.066088374995</v>
      </c>
      <c r="AN39" t="s">
        <v>138</v>
      </c>
      <c r="AO39" t="s">
        <v>139</v>
      </c>
      <c r="AP39" t="s">
        <v>140</v>
      </c>
      <c r="AQ39" t="s">
        <v>83</v>
      </c>
      <c r="AR39" t="s">
        <v>84</v>
      </c>
      <c r="AS39" t="s">
        <v>84</v>
      </c>
      <c r="AT39" t="s">
        <v>141</v>
      </c>
      <c r="AU39" t="s">
        <v>86</v>
      </c>
      <c r="AV39" t="s">
        <v>56</v>
      </c>
      <c r="AW39">
        <v>1</v>
      </c>
      <c r="AX39" t="s">
        <v>57</v>
      </c>
      <c r="AY39" t="s">
        <v>58</v>
      </c>
      <c r="BA39" t="s">
        <v>59</v>
      </c>
      <c r="BB39" t="s">
        <v>60</v>
      </c>
      <c r="BC39" t="s">
        <v>61</v>
      </c>
    </row>
    <row r="40" spans="2:55" x14ac:dyDescent="0.2">
      <c r="B40">
        <v>20</v>
      </c>
      <c r="C40">
        <v>20</v>
      </c>
      <c r="D40">
        <v>0</v>
      </c>
      <c r="G40" t="s">
        <v>142</v>
      </c>
      <c r="H40" t="s">
        <v>143</v>
      </c>
      <c r="I40" s="2" t="s">
        <v>95</v>
      </c>
      <c r="J40" s="1" t="s">
        <v>143</v>
      </c>
      <c r="K40" t="s">
        <v>139</v>
      </c>
      <c r="L40" t="s">
        <v>140</v>
      </c>
      <c r="M40" t="s">
        <v>83</v>
      </c>
      <c r="N40" t="s">
        <v>84</v>
      </c>
      <c r="O40" t="s">
        <v>84</v>
      </c>
      <c r="P40" t="s">
        <v>144</v>
      </c>
      <c r="Q40" t="s">
        <v>86</v>
      </c>
      <c r="V40">
        <v>0</v>
      </c>
      <c r="W40">
        <v>21</v>
      </c>
      <c r="X40">
        <v>21</v>
      </c>
      <c r="Y40">
        <v>13</v>
      </c>
      <c r="Z40">
        <v>107.092261832993</v>
      </c>
      <c r="AH40">
        <v>107.06866054100099</v>
      </c>
      <c r="AI40">
        <v>107.092261832993</v>
      </c>
      <c r="AJ40">
        <v>107.092261832993</v>
      </c>
      <c r="AK40">
        <v>107.092261832993</v>
      </c>
      <c r="AL40">
        <v>2.4424589937552801E-3</v>
      </c>
      <c r="AM40">
        <v>111.482851999986</v>
      </c>
      <c r="AN40" t="s">
        <v>143</v>
      </c>
      <c r="AO40" t="s">
        <v>139</v>
      </c>
      <c r="AP40" t="s">
        <v>140</v>
      </c>
      <c r="AQ40" t="s">
        <v>83</v>
      </c>
      <c r="AR40" t="s">
        <v>84</v>
      </c>
      <c r="AS40" t="s">
        <v>84</v>
      </c>
      <c r="AT40" t="s">
        <v>144</v>
      </c>
      <c r="AU40" t="s">
        <v>86</v>
      </c>
      <c r="AV40" t="s">
        <v>56</v>
      </c>
      <c r="AW40">
        <v>1</v>
      </c>
      <c r="AX40" t="s">
        <v>57</v>
      </c>
      <c r="AY40" t="s">
        <v>58</v>
      </c>
      <c r="BA40" t="s">
        <v>59</v>
      </c>
      <c r="BB40" t="s">
        <v>60</v>
      </c>
      <c r="BC40" t="s">
        <v>61</v>
      </c>
    </row>
    <row r="41" spans="2:55" x14ac:dyDescent="0.2">
      <c r="B41">
        <v>21</v>
      </c>
      <c r="C41">
        <v>21</v>
      </c>
      <c r="D41">
        <v>0</v>
      </c>
      <c r="G41" t="s">
        <v>145</v>
      </c>
      <c r="H41" t="s">
        <v>146</v>
      </c>
      <c r="I41" s="2" t="s">
        <v>95</v>
      </c>
      <c r="J41" s="1" t="s">
        <v>146</v>
      </c>
      <c r="K41" t="s">
        <v>139</v>
      </c>
      <c r="L41" t="s">
        <v>140</v>
      </c>
      <c r="M41" t="s">
        <v>83</v>
      </c>
      <c r="N41" t="s">
        <v>84</v>
      </c>
      <c r="O41" t="s">
        <v>84</v>
      </c>
      <c r="P41" t="s">
        <v>147</v>
      </c>
      <c r="Q41" t="s">
        <v>86</v>
      </c>
      <c r="V41">
        <v>0</v>
      </c>
      <c r="W41">
        <v>22</v>
      </c>
      <c r="X41">
        <v>22</v>
      </c>
      <c r="Y41">
        <v>10</v>
      </c>
      <c r="Z41">
        <v>111.508925332978</v>
      </c>
      <c r="AH41">
        <v>111.485674583003</v>
      </c>
      <c r="AI41">
        <v>111.508925332978</v>
      </c>
      <c r="AJ41">
        <v>111.508925332978</v>
      </c>
      <c r="AK41">
        <v>111.508925332978</v>
      </c>
      <c r="AL41">
        <v>2.7041670109611E-3</v>
      </c>
      <c r="AM41">
        <v>114.734497707977</v>
      </c>
      <c r="AN41" t="s">
        <v>146</v>
      </c>
      <c r="AO41" t="s">
        <v>139</v>
      </c>
      <c r="AP41" t="s">
        <v>140</v>
      </c>
      <c r="AQ41" t="s">
        <v>83</v>
      </c>
      <c r="AR41" t="s">
        <v>84</v>
      </c>
      <c r="AS41" t="s">
        <v>84</v>
      </c>
      <c r="AT41" t="s">
        <v>147</v>
      </c>
      <c r="AU41" t="s">
        <v>86</v>
      </c>
      <c r="AV41" t="s">
        <v>56</v>
      </c>
      <c r="AW41">
        <v>1</v>
      </c>
      <c r="AX41" t="s">
        <v>57</v>
      </c>
      <c r="AY41" t="s">
        <v>58</v>
      </c>
      <c r="BA41" t="s">
        <v>59</v>
      </c>
      <c r="BB41" t="s">
        <v>60</v>
      </c>
      <c r="BC41" t="s">
        <v>61</v>
      </c>
    </row>
    <row r="42" spans="2:55" x14ac:dyDescent="0.2">
      <c r="B42">
        <v>22</v>
      </c>
      <c r="C42">
        <v>22</v>
      </c>
      <c r="D42">
        <v>0</v>
      </c>
      <c r="G42" t="s">
        <v>148</v>
      </c>
      <c r="H42" t="s">
        <v>69</v>
      </c>
      <c r="I42" s="2" t="s">
        <v>95</v>
      </c>
      <c r="J42" s="1" t="s">
        <v>69</v>
      </c>
      <c r="K42" t="s">
        <v>139</v>
      </c>
      <c r="L42" t="s">
        <v>140</v>
      </c>
      <c r="M42" t="s">
        <v>83</v>
      </c>
      <c r="N42" t="s">
        <v>84</v>
      </c>
      <c r="O42" t="s">
        <v>84</v>
      </c>
      <c r="P42" t="s">
        <v>149</v>
      </c>
      <c r="Q42" t="s">
        <v>86</v>
      </c>
      <c r="V42">
        <v>0</v>
      </c>
      <c r="W42">
        <v>23</v>
      </c>
      <c r="X42">
        <v>23</v>
      </c>
      <c r="Y42">
        <v>3</v>
      </c>
      <c r="Z42">
        <v>114.74616229100501</v>
      </c>
      <c r="AH42">
        <v>114.73719779099299</v>
      </c>
      <c r="AI42">
        <v>114.74616229100501</v>
      </c>
      <c r="AJ42">
        <v>114.74616229100501</v>
      </c>
      <c r="AK42">
        <v>114.74616229100501</v>
      </c>
      <c r="AL42">
        <v>2.5983749947044998E-3</v>
      </c>
      <c r="AM42">
        <v>119.299551457981</v>
      </c>
      <c r="AN42" t="s">
        <v>69</v>
      </c>
      <c r="AO42" t="s">
        <v>139</v>
      </c>
      <c r="AP42" t="s">
        <v>140</v>
      </c>
      <c r="AQ42" t="s">
        <v>83</v>
      </c>
      <c r="AR42" t="s">
        <v>84</v>
      </c>
      <c r="AS42" t="s">
        <v>84</v>
      </c>
      <c r="AT42" t="s">
        <v>149</v>
      </c>
      <c r="AU42" t="s">
        <v>86</v>
      </c>
      <c r="AV42" t="s">
        <v>56</v>
      </c>
      <c r="AW42">
        <v>1</v>
      </c>
      <c r="AX42" t="s">
        <v>57</v>
      </c>
      <c r="AY42" t="s">
        <v>58</v>
      </c>
      <c r="BA42" t="s">
        <v>59</v>
      </c>
      <c r="BB42" t="s">
        <v>60</v>
      </c>
      <c r="BC42" t="s">
        <v>61</v>
      </c>
    </row>
    <row r="45" spans="2:55" x14ac:dyDescent="0.2">
      <c r="E45" s="7" t="s">
        <v>153</v>
      </c>
      <c r="F45" s="7"/>
      <c r="G45" s="7">
        <f>19-3</f>
        <v>16</v>
      </c>
      <c r="H45" s="7">
        <f>G45/19</f>
        <v>0.84210526315789469</v>
      </c>
    </row>
    <row r="46" spans="2:55" x14ac:dyDescent="0.2">
      <c r="E46" s="7" t="s">
        <v>150</v>
      </c>
      <c r="F46" s="7"/>
      <c r="G46" s="7">
        <v>3</v>
      </c>
      <c r="H46" s="8">
        <f>G46/5</f>
        <v>0.6</v>
      </c>
    </row>
    <row r="48" spans="2:55" x14ac:dyDescent="0.2">
      <c r="G48" s="9" t="s">
        <v>154</v>
      </c>
      <c r="H48" s="10">
        <f>H45-H46</f>
        <v>0.24210526315789471</v>
      </c>
    </row>
    <row r="49" spans="5:6" x14ac:dyDescent="0.2">
      <c r="E49" s="6" t="s">
        <v>151</v>
      </c>
      <c r="F49" s="6">
        <v>19</v>
      </c>
    </row>
    <row r="50" spans="5:6" x14ac:dyDescent="0.2">
      <c r="E50" s="6" t="s">
        <v>152</v>
      </c>
      <c r="F50" s="6">
        <v>4</v>
      </c>
    </row>
    <row r="51" spans="5:6" x14ac:dyDescent="0.2">
      <c r="E51" s="6" t="s">
        <v>155</v>
      </c>
      <c r="F51" s="6">
        <f>F49+F50</f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S_1_Word Priming Task_2025-10-1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2025-10-13T11:20:42Z</dcterms:created>
  <dcterms:modified xsi:type="dcterms:W3CDTF">2025-10-16T08:33:33Z</dcterms:modified>
</cp:coreProperties>
</file>